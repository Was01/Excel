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B49E2095-8234-4AA7-865E-FC3A0336DC84}" xr6:coauthVersionLast="47" xr6:coauthVersionMax="47" xr10:uidLastSave="{00000000-0000-0000-0000-000000000000}"/>
  <bookViews>
    <workbookView xWindow="-120" yWindow="-120" windowWidth="29040" windowHeight="15840" firstSheet="2" activeTab="8" xr2:uid="{04619F30-6160-4E7C-8B00-7138000C4EEC}"/>
  </bookViews>
  <sheets>
    <sheet name="Controle de estoque 1" sheetId="1" r:id="rId1"/>
    <sheet name="Folha simplificada" sheetId="3" r:id="rId2"/>
    <sheet name="controledeestoquelucro" sheetId="4" r:id="rId3"/>
    <sheet name="Recibo" sheetId="5" r:id="rId4"/>
    <sheet name="Empresa Nacional" sheetId="6" r:id="rId5"/>
    <sheet name="Controle de estoque 2" sheetId="7" r:id="rId6"/>
    <sheet name="Boletim Escolar" sheetId="9" r:id="rId7"/>
    <sheet name="Financeiro" sheetId="10" r:id="rId8"/>
    <sheet name="Relatório de vendas" sheetId="11" r:id="rId9"/>
  </sheets>
  <definedNames>
    <definedName name="_xlnm._FilterDatabase" localSheetId="8" hidden="1">'Relatório de vendas'!$B$6:$E$14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1" l="1"/>
  <c r="I8" i="11"/>
  <c r="I7" i="11"/>
  <c r="H9" i="11"/>
  <c r="H8" i="11"/>
  <c r="H7" i="11"/>
  <c r="E5" i="11"/>
  <c r="C5" i="11"/>
  <c r="E4" i="11"/>
  <c r="C4" i="11"/>
  <c r="J7" i="7"/>
  <c r="J8" i="7"/>
  <c r="J9" i="7"/>
  <c r="J10" i="7"/>
  <c r="J6" i="7"/>
  <c r="G16" i="10"/>
  <c r="D16" i="10"/>
  <c r="C16" i="10"/>
  <c r="D15" i="10"/>
  <c r="E15" i="10"/>
  <c r="E16" i="10" s="1"/>
  <c r="G15" i="10"/>
  <c r="H15" i="10"/>
  <c r="H16" i="10" s="1"/>
  <c r="D14" i="10"/>
  <c r="E14" i="10"/>
  <c r="F14" i="10"/>
  <c r="F15" i="10" s="1"/>
  <c r="F16" i="10" s="1"/>
  <c r="G14" i="10"/>
  <c r="H14" i="10"/>
  <c r="C15" i="10"/>
  <c r="C14" i="10"/>
  <c r="H5" i="9"/>
  <c r="H7" i="9"/>
  <c r="H8" i="9"/>
  <c r="G5" i="9"/>
  <c r="G6" i="9"/>
  <c r="H6" i="9" s="1"/>
  <c r="G7" i="9"/>
  <c r="G8" i="9"/>
  <c r="G4" i="9"/>
  <c r="H4" i="9" s="1"/>
  <c r="C3" i="5"/>
  <c r="I7" i="7"/>
  <c r="I8" i="7"/>
  <c r="I9" i="7"/>
  <c r="I10" i="7"/>
  <c r="I6" i="7"/>
  <c r="G7" i="7"/>
  <c r="G8" i="7"/>
  <c r="G9" i="7"/>
  <c r="G10" i="7"/>
  <c r="G6" i="7"/>
  <c r="G4" i="6"/>
  <c r="F11" i="6"/>
  <c r="F12" i="6"/>
  <c r="F13" i="6"/>
  <c r="F14" i="6"/>
  <c r="F10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F5" i="6"/>
  <c r="G5" i="6"/>
  <c r="H5" i="6"/>
  <c r="I5" i="6"/>
  <c r="F6" i="6"/>
  <c r="G6" i="6"/>
  <c r="H6" i="6"/>
  <c r="I6" i="6"/>
  <c r="F7" i="6"/>
  <c r="G7" i="6"/>
  <c r="H7" i="6"/>
  <c r="I7" i="6"/>
  <c r="F8" i="6"/>
  <c r="G8" i="6"/>
  <c r="H8" i="6"/>
  <c r="I8" i="6"/>
  <c r="I4" i="6"/>
  <c r="H4" i="6"/>
  <c r="F4" i="6"/>
  <c r="E15" i="5"/>
  <c r="E14" i="5"/>
  <c r="E16" i="5"/>
  <c r="E13" i="5"/>
  <c r="E12" i="5"/>
  <c r="E8" i="5"/>
  <c r="E9" i="5"/>
  <c r="E10" i="5"/>
  <c r="E11" i="5"/>
  <c r="E7" i="5"/>
  <c r="G9" i="4"/>
  <c r="H9" i="4" s="1"/>
  <c r="I9" i="4" s="1"/>
  <c r="G10" i="4"/>
  <c r="H10" i="4" s="1"/>
  <c r="I10" i="4" s="1"/>
  <c r="G11" i="4"/>
  <c r="H11" i="4" s="1"/>
  <c r="I11" i="4" s="1"/>
  <c r="G12" i="4"/>
  <c r="H12" i="4"/>
  <c r="I12" i="4" s="1"/>
  <c r="H8" i="4"/>
  <c r="G8" i="4"/>
  <c r="E9" i="4"/>
  <c r="F9" i="4" s="1"/>
  <c r="E10" i="4"/>
  <c r="F10" i="4" s="1"/>
  <c r="E11" i="4"/>
  <c r="F11" i="4" s="1"/>
  <c r="E12" i="4"/>
  <c r="F12" i="4" s="1"/>
  <c r="E8" i="4"/>
  <c r="F8" i="4" s="1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G5" i="3"/>
  <c r="G6" i="3"/>
  <c r="G7" i="3"/>
  <c r="G8" i="3"/>
  <c r="G4" i="3"/>
  <c r="E7" i="1"/>
  <c r="E6" i="1"/>
  <c r="E5" i="1"/>
  <c r="E4" i="1"/>
  <c r="I8" i="4" l="1"/>
  <c r="E8" i="1"/>
</calcChain>
</file>

<file path=xl/sharedStrings.xml><?xml version="1.0" encoding="utf-8"?>
<sst xmlns="http://schemas.openxmlformats.org/spreadsheetml/2006/main" count="162" uniqueCount="107">
  <si>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</si>
  <si>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</si>
  <si>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</si>
  <si>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</si>
  <si>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</si>
  <si>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</si>
  <si>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</si>
  <si>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</si>
  <si>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</si>
  <si>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</si>
  <si>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</si>
  <si>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</si>
  <si>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</si>
  <si>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</si>
  <si>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</si>
  <si>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</si>
  <si>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</si>
  <si>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</si>
  <si>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</si>
  <si>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</si>
  <si>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</si>
  <si>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</si>
  <si>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</si>
  <si>
    <t>Tiago Souza</t>
  </si>
  <si>
    <t>Rafaela Cristina</t>
  </si>
  <si>
    <t>Maria de Lourdes</t>
  </si>
  <si>
    <t>Pedro Henrique</t>
  </si>
  <si>
    <t>Caderno</t>
  </si>
  <si>
    <t>Caneta</t>
  </si>
  <si>
    <t>Borracha</t>
  </si>
  <si>
    <t>Apostilas</t>
  </si>
  <si>
    <t>Pastas</t>
  </si>
  <si>
    <t>Sub-Total R$</t>
  </si>
  <si>
    <t>Vl. Venda R$</t>
  </si>
  <si>
    <t>Vl. Custo R$</t>
  </si>
  <si>
    <t>Vl. Custo U$</t>
  </si>
  <si>
    <t>Vl. Venda U$</t>
  </si>
  <si>
    <t>Sub-Total U$</t>
  </si>
  <si>
    <t>Data</t>
  </si>
  <si>
    <t>Cliente</t>
  </si>
  <si>
    <t>Valor unit</t>
  </si>
  <si>
    <t>Valor total</t>
  </si>
  <si>
    <t>Mais Caro</t>
  </si>
  <si>
    <t>Mais barato</t>
  </si>
  <si>
    <t>Biscoitos</t>
  </si>
  <si>
    <t>Macarrão</t>
  </si>
  <si>
    <t>Milho</t>
  </si>
  <si>
    <t>Sabonete</t>
  </si>
  <si>
    <t>Sub-Total</t>
  </si>
  <si>
    <t>Vl. desconto</t>
  </si>
  <si>
    <t>Recibo de compra</t>
  </si>
  <si>
    <t>Desconto</t>
  </si>
  <si>
    <t>Pedro</t>
  </si>
  <si>
    <t>Empresa Nacional S/A</t>
  </si>
  <si>
    <t>Janeiro</t>
  </si>
  <si>
    <t>Ferveriro</t>
  </si>
  <si>
    <t>Março</t>
  </si>
  <si>
    <t>Máximo</t>
  </si>
  <si>
    <t>Mínimo</t>
  </si>
  <si>
    <t>Média</t>
  </si>
  <si>
    <t>Parafusos</t>
  </si>
  <si>
    <t>Pregos</t>
  </si>
  <si>
    <t>Tintas</t>
  </si>
  <si>
    <t>Martelo</t>
  </si>
  <si>
    <t>Marreta</t>
  </si>
  <si>
    <t>Vl. Custo</t>
  </si>
  <si>
    <t>Vl. Venda</t>
  </si>
  <si>
    <t>Data Validade</t>
  </si>
  <si>
    <t>Dias p/ vencimento</t>
  </si>
  <si>
    <t>Biscoito</t>
  </si>
  <si>
    <t>Café</t>
  </si>
  <si>
    <t>Boletim</t>
  </si>
  <si>
    <t>1º bimestre</t>
  </si>
  <si>
    <t>2º bimestre</t>
  </si>
  <si>
    <t>3º bimestre</t>
  </si>
  <si>
    <t>4º bimestre</t>
  </si>
  <si>
    <t>Matemática</t>
  </si>
  <si>
    <t>Física</t>
  </si>
  <si>
    <t>Química</t>
  </si>
  <si>
    <t>Biologia</t>
  </si>
  <si>
    <t>Português</t>
  </si>
  <si>
    <t>Resultado</t>
  </si>
  <si>
    <t>Disciplinas</t>
  </si>
  <si>
    <t>Financeiro</t>
  </si>
  <si>
    <t>Receitas</t>
  </si>
  <si>
    <t>Fevereiro</t>
  </si>
  <si>
    <t>Abril</t>
  </si>
  <si>
    <t>Maio</t>
  </si>
  <si>
    <t>Junho</t>
  </si>
  <si>
    <t>Despesas</t>
  </si>
  <si>
    <t>Aluguel</t>
  </si>
  <si>
    <t>Academia</t>
  </si>
  <si>
    <t>Internet</t>
  </si>
  <si>
    <t>Alimentação</t>
  </si>
  <si>
    <t>Transporte</t>
  </si>
  <si>
    <t>Saldo</t>
  </si>
  <si>
    <t>Situação</t>
  </si>
  <si>
    <t>Diversos</t>
  </si>
  <si>
    <t>Relatório de vendas</t>
  </si>
  <si>
    <t>Vendedor</t>
  </si>
  <si>
    <t>Prato</t>
  </si>
  <si>
    <t>Caneca</t>
  </si>
  <si>
    <t>Tiago</t>
  </si>
  <si>
    <t>Rafaela</t>
  </si>
  <si>
    <t>Subtotal</t>
  </si>
  <si>
    <t>Vendas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</si>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</sst>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$-416]\ * #,##0.00_-;\-[$R$-416]\ * #,##0.00_-;_-[$R$-416]\ * &quot;-&quot;??_-;_-@_-"/>
    <numFmt numFmtId="165" formatCode="_-[$$-409]* #,##0.00_ ;_-[$$-409]* \-#,##0.00\ ;_-[$$-409]* &quot;-&quot;??_ ;_-@_ "/>
    <numFmt numFmtId="166" formatCode="&quot;R$&quot;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2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0" fillId="0" borderId="1" xfId="0" applyBorder="1"/>
    <xf numFmtId="0" fontId="2" fillId="4" borderId="1" xfId="0" applyFont="1" applyFill="1" applyBorder="1"/>
    <xf numFmtId="9" fontId="0" fillId="0" borderId="1" xfId="1" applyFont="1" applyBorder="1"/>
    <xf numFmtId="9" fontId="0" fillId="0" borderId="0" xfId="1" applyFont="1"/>
    <xf numFmtId="9" fontId="0" fillId="0" borderId="1" xfId="0" applyNumberFormat="1" applyBorder="1"/>
    <xf numFmtId="0" fontId="1" fillId="0" borderId="1" xfId="0" applyFont="1" applyBorder="1"/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right"/>
    </xf>
    <xf numFmtId="165" fontId="0" fillId="0" borderId="1" xfId="0" applyNumberFormat="1" applyBorder="1"/>
    <xf numFmtId="0" fontId="1" fillId="5" borderId="1" xfId="0" applyFont="1" applyFill="1" applyBorder="1"/>
    <xf numFmtId="0" fontId="0" fillId="0" borderId="8" xfId="0" applyBorder="1"/>
    <xf numFmtId="0" fontId="0" fillId="0" borderId="10" xfId="0" applyBorder="1"/>
    <xf numFmtId="0" fontId="1" fillId="0" borderId="5" xfId="0" applyFont="1" applyBorder="1"/>
    <xf numFmtId="0" fontId="1" fillId="0" borderId="8" xfId="0" applyFont="1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1" xfId="0" applyNumberFormat="1" applyBorder="1" applyAlignment="1">
      <alignment horizontal="left"/>
    </xf>
    <xf numFmtId="166" fontId="0" fillId="0" borderId="9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66" fontId="0" fillId="0" borderId="7" xfId="0" applyNumberFormat="1" applyBorder="1" applyAlignment="1">
      <alignment horizontal="left"/>
    </xf>
    <xf numFmtId="0" fontId="6" fillId="4" borderId="1" xfId="0" applyFont="1" applyFill="1" applyBorder="1"/>
    <xf numFmtId="14" fontId="0" fillId="0" borderId="1" xfId="0" applyNumberFormat="1" applyBorder="1"/>
    <xf numFmtId="14" fontId="6" fillId="4" borderId="1" xfId="0" applyNumberFormat="1" applyFont="1" applyFill="1" applyBorder="1"/>
    <xf numFmtId="14" fontId="6" fillId="4" borderId="1" xfId="0" applyNumberFormat="1" applyFon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6" borderId="1" xfId="0" applyFill="1" applyBorder="1"/>
    <xf numFmtId="164" fontId="0" fillId="0" borderId="9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164" fontId="0" fillId="0" borderId="0" xfId="0" applyNumberFormat="1"/>
    <xf numFmtId="164" fontId="0" fillId="0" borderId="6" xfId="0" applyNumberFormat="1" applyBorder="1"/>
    <xf numFmtId="164" fontId="0" fillId="0" borderId="7" xfId="0" applyNumberFormat="1" applyBorder="1"/>
    <xf numFmtId="0" fontId="0" fillId="0" borderId="11" xfId="0" applyBorder="1"/>
    <xf numFmtId="0" fontId="5" fillId="0" borderId="0" xfId="0" applyFont="1" applyAlignment="1">
      <alignment vertical="center"/>
    </xf>
    <xf numFmtId="0" fontId="6" fillId="4" borderId="13" xfId="0" applyFont="1" applyFill="1" applyBorder="1"/>
    <xf numFmtId="0" fontId="0" fillId="4" borderId="0" xfId="0" applyFill="1"/>
    <xf numFmtId="16" fontId="0" fillId="0" borderId="0" xfId="0" applyNumberFormat="1"/>
    <xf numFmtId="16" fontId="0" fillId="0" borderId="1" xfId="0" applyNumberFormat="1" applyBorder="1"/>
    <xf numFmtId="0" fontId="2" fillId="4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164" fontId="8" fillId="7" borderId="1" xfId="0" applyNumberFormat="1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0" borderId="9" xfId="1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4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left"/>
    </xf>
    <xf numFmtId="0" fontId="1" fillId="6" borderId="6" xfId="0" applyFont="1" applyFill="1" applyBorder="1" applyAlignment="1">
      <alignment horizontal="left"/>
    </xf>
    <xf numFmtId="0" fontId="1" fillId="6" borderId="7" xfId="0" applyFont="1" applyFill="1" applyBorder="1" applyAlignment="1">
      <alignment horizontal="left"/>
    </xf>
  </cellXfs>
  <cellStyles count="2">
    <cellStyle name="Normal" xfId="0" builtinId="0"/>
    <cellStyle name="Porcentagem" xfId="1" builtinId="5"/>
  </cellStyles>
  <dxfs count="7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theme="4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Recibo!$C$6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90D-4A7A-9125-2E00CB9DA8D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90D-4A7A-9125-2E00CB9DA8D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90D-4A7A-9125-2E00CB9DA8D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690D-4A7A-9125-2E00CB9DA8D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690D-4A7A-9125-2E00CB9DA8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Recibo!$B$7:$B$11</c:f>
              <c:strCache>
                <c:ptCount val="5"/>
                <c:pt idx="0">
                  <c:v>Chocolate</c:v>
                </c:pt>
                <c:pt idx="1">
                  <c:v>Biscoitos</c:v>
                </c:pt>
                <c:pt idx="2">
                  <c:v>Macarrão</c:v>
                </c:pt>
                <c:pt idx="3">
                  <c:v>Milho</c:v>
                </c:pt>
                <c:pt idx="4">
                  <c:v>Sabonete</c:v>
                </c:pt>
              </c:strCache>
            </c:strRef>
          </c:cat>
          <c:val>
            <c:numRef>
              <c:f>Recibo!$C$7:$C$11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5</c:v>
                </c:pt>
                <c:pt idx="3">
                  <c:v>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D-4FEA-9E09-F228BA2300CC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Boletim Escolar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'Boletim Escolar'!$C$3</c:f>
              <c:strCache>
                <c:ptCount val="1"/>
                <c:pt idx="0">
                  <c:v>1º bimestre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Escolar'!$C$4:$C$8</c:f>
              <c:numCache>
                <c:formatCode>General</c:formatCode>
                <c:ptCount val="5"/>
                <c:pt idx="0">
                  <c:v>7</c:v>
                </c:pt>
                <c:pt idx="1">
                  <c:v>10</c:v>
                </c:pt>
                <c:pt idx="2">
                  <c:v>3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F-43F5-8B78-C112CFAFCA7C}"/>
            </c:ext>
          </c:extLst>
        </c:ser>
        <c:ser>
          <c:idx val="1"/>
          <c:order val="1"/>
          <c:tx>
            <c:strRef>
              <c:f>'Boletim Escolar'!$D$3</c:f>
              <c:strCache>
                <c:ptCount val="1"/>
                <c:pt idx="0">
                  <c:v>2º bimestre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Escolar'!$D$4:$D$8</c:f>
              <c:numCache>
                <c:formatCode>General</c:formatCode>
                <c:ptCount val="5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F-43F5-8B78-C112CFAFCA7C}"/>
            </c:ext>
          </c:extLst>
        </c:ser>
        <c:ser>
          <c:idx val="2"/>
          <c:order val="2"/>
          <c:tx>
            <c:strRef>
              <c:f>'Boletim Escolar'!$E$3</c:f>
              <c:strCache>
                <c:ptCount val="1"/>
                <c:pt idx="0">
                  <c:v>3º bimestre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Escolar'!$E$4:$E$8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F-43F5-8B78-C112CFAFCA7C}"/>
            </c:ext>
          </c:extLst>
        </c:ser>
        <c:ser>
          <c:idx val="3"/>
          <c:order val="3"/>
          <c:tx>
            <c:strRef>
              <c:f>'Boletim Escolar'!$F$3</c:f>
              <c:strCache>
                <c:ptCount val="1"/>
                <c:pt idx="0">
                  <c:v>4º bimestre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Escolar'!$F$4:$F$8</c:f>
              <c:numCache>
                <c:formatCode>General</c:formatCode>
                <c:ptCount val="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EF-43F5-8B78-C112CFAFCA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56719839"/>
        <c:axId val="856724639"/>
      </c:lineChart>
      <c:catAx>
        <c:axId val="85671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6724639"/>
        <c:crosses val="autoZero"/>
        <c:auto val="1"/>
        <c:lblAlgn val="ctr"/>
        <c:lblOffset val="100"/>
        <c:noMultiLvlLbl val="0"/>
      </c:catAx>
      <c:valAx>
        <c:axId val="85672463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5671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17</xdr:row>
      <xdr:rowOff>180975</xdr:rowOff>
    </xdr:from>
    <xdr:to>
      <xdr:col>5</xdr:col>
      <xdr:colOff>66675</xdr:colOff>
      <xdr:row>36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5553AE-ED84-6D43-0445-7C8EFC80C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23811</xdr:colOff>
      <xdr:row>8</xdr:row>
      <xdr:rowOff>180975</xdr:rowOff>
    </xdr:from>
    <xdr:to>
      <xdr:col>7</xdr:col>
      <xdr:colOff>704849</xdr:colOff>
      <xdr:row>23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44C2DC-9FE8-1181-CCA7-786C1E889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D30" sqref="D30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58" t="s">
        <v>0</v>
      </c>
      <c r="C2" s="58"/>
      <c r="D2" s="58"/>
      <c r="E2" s="58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59" t="s">
        <v>9</v>
      </c>
      <c r="C8" s="59"/>
      <c r="D8" s="59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5" sqref="F35"/>
    </sheetView>
  </sheetViews>
  <sheetFormatPr defaultRowHeight="15" x14ac:dyDescent="0.25"/>
  <cols>
    <col min="2" max="2" width="16.28515625" bestFit="1" customWidth="1"/>
    <col min="3" max="3" width="12.28515625" bestFit="1" customWidth="1"/>
    <col min="6" max="6" width="15.140625" bestFit="1" customWidth="1"/>
    <col min="7" max="8" width="10.5703125" bestFit="1" customWidth="1"/>
    <col min="9" max="9" width="17.5703125" bestFit="1" customWidth="1"/>
    <col min="10" max="10" width="14" bestFit="1" customWidth="1"/>
  </cols>
  <sheetData>
    <row r="2" spans="2:10" x14ac:dyDescent="0.25">
      <c r="B2" s="60" t="s">
        <v>10</v>
      </c>
      <c r="C2" s="60"/>
      <c r="D2" s="60"/>
      <c r="E2" s="60"/>
      <c r="F2" s="60"/>
      <c r="G2" s="60"/>
      <c r="H2" s="60"/>
      <c r="I2" s="60"/>
      <c r="J2" s="60"/>
    </row>
    <row r="3" spans="2:10" x14ac:dyDescent="0.25">
      <c r="B3" s="7" t="s">
        <v>11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</row>
    <row r="4" spans="2:10" x14ac:dyDescent="0.25">
      <c r="B4" s="6"/>
      <c r="C4" s="1">
        <v>1500</v>
      </c>
      <c r="D4" s="8">
        <v>0.2</v>
      </c>
      <c r="E4" s="9">
        <v>0.08</v>
      </c>
      <c r="F4" s="8">
        <v>7.0000000000000007E-2</v>
      </c>
      <c r="G4" s="1">
        <f>C4*D4</f>
        <v>300</v>
      </c>
      <c r="H4" s="1">
        <f>C4*E4</f>
        <v>120</v>
      </c>
      <c r="I4" s="1">
        <f>C4*F4</f>
        <v>105.00000000000001</v>
      </c>
      <c r="J4" s="1">
        <f>C4-(G4+H4+I4)</f>
        <v>975</v>
      </c>
    </row>
    <row r="5" spans="2:10" x14ac:dyDescent="0.25">
      <c r="B5" s="6" t="s">
        <v>23</v>
      </c>
      <c r="C5" s="1">
        <v>1600</v>
      </c>
      <c r="D5" s="8">
        <v>0.2</v>
      </c>
      <c r="E5" s="8">
        <v>0.08</v>
      </c>
      <c r="F5" s="8">
        <v>7.0000000000000007E-2</v>
      </c>
      <c r="G5" s="1">
        <f t="shared" ref="G5:G8" si="0">C5*D5</f>
        <v>320</v>
      </c>
      <c r="H5" s="1">
        <f t="shared" ref="H5:H8" si="1">C5*E5</f>
        <v>128</v>
      </c>
      <c r="I5" s="1">
        <f t="shared" ref="I5:I8" si="2">C5*F5</f>
        <v>112.00000000000001</v>
      </c>
      <c r="J5" s="1">
        <f t="shared" ref="J5:J8" si="3">C5-(G5+H5+I5)</f>
        <v>1040</v>
      </c>
    </row>
    <row r="6" spans="2:10" x14ac:dyDescent="0.25">
      <c r="B6" s="6" t="s">
        <v>24</v>
      </c>
      <c r="C6" s="1">
        <v>1800</v>
      </c>
      <c r="D6" s="8">
        <v>0.2</v>
      </c>
      <c r="E6" s="9">
        <v>0.08</v>
      </c>
      <c r="F6" s="8">
        <v>7.0000000000000007E-2</v>
      </c>
      <c r="G6" s="1">
        <f t="shared" si="0"/>
        <v>360</v>
      </c>
      <c r="H6" s="1">
        <f t="shared" si="1"/>
        <v>144</v>
      </c>
      <c r="I6" s="1">
        <f t="shared" si="2"/>
        <v>126.00000000000001</v>
      </c>
      <c r="J6" s="1">
        <f t="shared" si="3"/>
        <v>1170</v>
      </c>
    </row>
    <row r="7" spans="2:10" x14ac:dyDescent="0.25">
      <c r="B7" s="6" t="s">
        <v>25</v>
      </c>
      <c r="C7" s="1">
        <v>2200</v>
      </c>
      <c r="D7" s="8">
        <v>0.2</v>
      </c>
      <c r="E7" s="8">
        <v>0.08</v>
      </c>
      <c r="F7" s="8">
        <v>7.0000000000000007E-2</v>
      </c>
      <c r="G7" s="1">
        <f t="shared" si="0"/>
        <v>440</v>
      </c>
      <c r="H7" s="1">
        <f t="shared" si="1"/>
        <v>176</v>
      </c>
      <c r="I7" s="1">
        <f t="shared" si="2"/>
        <v>154.00000000000003</v>
      </c>
      <c r="J7" s="1">
        <f t="shared" si="3"/>
        <v>1430</v>
      </c>
    </row>
    <row r="8" spans="2:10" x14ac:dyDescent="0.25">
      <c r="B8" s="6" t="s">
        <v>26</v>
      </c>
      <c r="C8" s="1">
        <v>1800</v>
      </c>
      <c r="D8" s="8">
        <v>0.2</v>
      </c>
      <c r="E8" s="9">
        <v>0.08</v>
      </c>
      <c r="F8" s="8">
        <v>7.0000000000000007E-2</v>
      </c>
      <c r="G8" s="1">
        <f t="shared" si="0"/>
        <v>360</v>
      </c>
      <c r="H8" s="1">
        <f t="shared" si="1"/>
        <v>144</v>
      </c>
      <c r="I8" s="1">
        <f t="shared" si="2"/>
        <v>126.00000000000001</v>
      </c>
      <c r="J8" s="1">
        <f t="shared" si="3"/>
        <v>1170</v>
      </c>
    </row>
  </sheetData>
  <mergeCells count="1">
    <mergeCell ref="B2:J2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I12"/>
  <sheetViews>
    <sheetView workbookViewId="0">
      <selection activeCell="I20" sqref="I20"/>
    </sheetView>
  </sheetViews>
  <sheetFormatPr defaultRowHeight="15" x14ac:dyDescent="0.25"/>
  <cols>
    <col min="2" max="2" width="9.5703125" customWidth="1"/>
    <col min="3" max="3" width="15.140625" customWidth="1"/>
    <col min="4" max="4" width="12.85546875" customWidth="1"/>
    <col min="5" max="5" width="12.42578125" customWidth="1"/>
    <col min="6" max="6" width="13.28515625" customWidth="1"/>
    <col min="7" max="7" width="12.42578125" customWidth="1"/>
    <col min="8" max="8" width="13.140625" customWidth="1"/>
    <col min="9" max="9" width="13.5703125" customWidth="1"/>
  </cols>
  <sheetData>
    <row r="2" spans="2:9" x14ac:dyDescent="0.25">
      <c r="B2" s="61" t="s">
        <v>20</v>
      </c>
      <c r="C2" s="62"/>
      <c r="D2" s="62"/>
      <c r="E2" s="62"/>
      <c r="F2" s="62"/>
      <c r="G2" s="62"/>
      <c r="H2" s="62"/>
      <c r="I2" s="63"/>
    </row>
    <row r="3" spans="2:9" x14ac:dyDescent="0.25">
      <c r="B3" s="11" t="s">
        <v>21</v>
      </c>
      <c r="C3" s="10">
        <v>1.3</v>
      </c>
    </row>
    <row r="4" spans="2:9" x14ac:dyDescent="0.25">
      <c r="B4" s="11" t="s">
        <v>22</v>
      </c>
      <c r="C4" s="12">
        <v>5.45</v>
      </c>
    </row>
    <row r="7" spans="2:9" x14ac:dyDescent="0.25">
      <c r="B7" s="15" t="s">
        <v>1</v>
      </c>
      <c r="C7" s="15" t="s">
        <v>2</v>
      </c>
      <c r="D7" s="15" t="s">
        <v>34</v>
      </c>
      <c r="E7" s="15" t="s">
        <v>33</v>
      </c>
      <c r="F7" s="15" t="s">
        <v>32</v>
      </c>
      <c r="G7" s="15" t="s">
        <v>35</v>
      </c>
      <c r="H7" s="15" t="s">
        <v>36</v>
      </c>
      <c r="I7" s="15" t="s">
        <v>37</v>
      </c>
    </row>
    <row r="8" spans="2:9" x14ac:dyDescent="0.25">
      <c r="B8" s="6" t="s">
        <v>27</v>
      </c>
      <c r="C8" s="13">
        <v>5</v>
      </c>
      <c r="D8" s="1">
        <v>1.3</v>
      </c>
      <c r="E8" s="1">
        <f>D8*C$3+D8</f>
        <v>2.99</v>
      </c>
      <c r="F8" s="1">
        <f>E8*C8</f>
        <v>14.950000000000001</v>
      </c>
      <c r="G8" s="14">
        <f>D8/C$4</f>
        <v>0.23853211009174313</v>
      </c>
      <c r="H8" s="14">
        <f>G8*C$3+G8</f>
        <v>0.54862385321100926</v>
      </c>
      <c r="I8" s="14">
        <f>H8*C8</f>
        <v>2.7431192660550465</v>
      </c>
    </row>
    <row r="9" spans="2:9" x14ac:dyDescent="0.25">
      <c r="B9" s="6" t="s">
        <v>28</v>
      </c>
      <c r="C9" s="13">
        <v>2</v>
      </c>
      <c r="D9" s="1">
        <v>0.53</v>
      </c>
      <c r="E9" s="1">
        <f t="shared" ref="E9:E12" si="0">D9*C$3+D9</f>
        <v>1.2190000000000001</v>
      </c>
      <c r="F9" s="1">
        <f t="shared" ref="F9:F12" si="1">E9*C9</f>
        <v>2.4380000000000002</v>
      </c>
      <c r="G9" s="14">
        <f t="shared" ref="G9:G12" si="2">D9/C$4</f>
        <v>9.7247706422018354E-2</v>
      </c>
      <c r="H9" s="14">
        <f t="shared" ref="H9:H12" si="3">G9*C$3+G9</f>
        <v>0.22366972477064223</v>
      </c>
      <c r="I9" s="14">
        <f t="shared" ref="I9:I12" si="4">H9*C9</f>
        <v>0.44733944954128446</v>
      </c>
    </row>
    <row r="10" spans="2:9" x14ac:dyDescent="0.25">
      <c r="B10" s="6" t="s">
        <v>29</v>
      </c>
      <c r="C10" s="13">
        <v>1</v>
      </c>
      <c r="D10" s="1">
        <v>0.23</v>
      </c>
      <c r="E10" s="1">
        <f t="shared" si="0"/>
        <v>0.52900000000000003</v>
      </c>
      <c r="F10" s="1">
        <f t="shared" si="1"/>
        <v>0.52900000000000003</v>
      </c>
      <c r="G10" s="14">
        <f t="shared" si="2"/>
        <v>4.2201834862385323E-2</v>
      </c>
      <c r="H10" s="14">
        <f t="shared" si="3"/>
        <v>9.7064220183486247E-2</v>
      </c>
      <c r="I10" s="14">
        <f t="shared" si="4"/>
        <v>9.7064220183486247E-2</v>
      </c>
    </row>
    <row r="11" spans="2:9" x14ac:dyDescent="0.25">
      <c r="B11" s="6" t="s">
        <v>30</v>
      </c>
      <c r="C11" s="13">
        <v>15</v>
      </c>
      <c r="D11" s="1">
        <v>15</v>
      </c>
      <c r="E11" s="1">
        <f t="shared" si="0"/>
        <v>34.5</v>
      </c>
      <c r="F11" s="1">
        <f t="shared" si="1"/>
        <v>517.5</v>
      </c>
      <c r="G11" s="14">
        <f t="shared" si="2"/>
        <v>2.7522935779816513</v>
      </c>
      <c r="H11" s="14">
        <f t="shared" si="3"/>
        <v>6.330275229357798</v>
      </c>
      <c r="I11" s="14">
        <f t="shared" si="4"/>
        <v>94.954128440366972</v>
      </c>
    </row>
    <row r="12" spans="2:9" x14ac:dyDescent="0.25">
      <c r="B12" s="6" t="s">
        <v>31</v>
      </c>
      <c r="C12" s="13">
        <v>20</v>
      </c>
      <c r="D12" s="1">
        <v>1.9</v>
      </c>
      <c r="E12" s="1">
        <f t="shared" si="0"/>
        <v>4.3699999999999992</v>
      </c>
      <c r="F12" s="1">
        <f t="shared" si="1"/>
        <v>87.399999999999977</v>
      </c>
      <c r="G12" s="14">
        <f t="shared" si="2"/>
        <v>0.34862385321100914</v>
      </c>
      <c r="H12" s="14">
        <f t="shared" si="3"/>
        <v>0.80183486238532109</v>
      </c>
      <c r="I12" s="14">
        <f t="shared" si="4"/>
        <v>16.036697247706421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D517-567E-4874-9E0F-E652E52C3A90}">
  <dimension ref="B1:E36"/>
  <sheetViews>
    <sheetView workbookViewId="0">
      <selection activeCell="I16" sqref="I16"/>
    </sheetView>
  </sheetViews>
  <sheetFormatPr defaultRowHeight="15" x14ac:dyDescent="0.25"/>
  <cols>
    <col min="2" max="2" width="16.28515625" bestFit="1" customWidth="1"/>
    <col min="3" max="3" width="13.42578125" customWidth="1"/>
    <col min="4" max="4" width="12" bestFit="1" customWidth="1"/>
    <col min="5" max="5" width="10.28515625" bestFit="1" customWidth="1"/>
  </cols>
  <sheetData>
    <row r="1" spans="2:5" ht="15.75" thickBot="1" x14ac:dyDescent="0.3"/>
    <row r="2" spans="2:5" x14ac:dyDescent="0.25">
      <c r="B2" s="64" t="s">
        <v>50</v>
      </c>
      <c r="C2" s="65"/>
      <c r="D2" s="65"/>
      <c r="E2" s="66"/>
    </row>
    <row r="3" spans="2:5" x14ac:dyDescent="0.25">
      <c r="B3" s="16" t="s">
        <v>38</v>
      </c>
      <c r="C3" s="67">
        <f ca="1">TODAY()</f>
        <v>45068</v>
      </c>
      <c r="D3" s="67"/>
      <c r="E3" s="68"/>
    </row>
    <row r="4" spans="2:5" x14ac:dyDescent="0.25">
      <c r="B4" s="16" t="s">
        <v>39</v>
      </c>
      <c r="C4" s="69" t="s">
        <v>52</v>
      </c>
      <c r="D4" s="69"/>
      <c r="E4" s="70"/>
    </row>
    <row r="5" spans="2:5" ht="15.75" thickBot="1" x14ac:dyDescent="0.3">
      <c r="B5" s="17" t="s">
        <v>51</v>
      </c>
      <c r="C5" s="71">
        <v>0.15</v>
      </c>
      <c r="D5" s="71"/>
      <c r="E5" s="72"/>
    </row>
    <row r="6" spans="2:5" x14ac:dyDescent="0.25">
      <c r="B6" s="26" t="s">
        <v>1</v>
      </c>
      <c r="C6" s="27" t="s">
        <v>2</v>
      </c>
      <c r="D6" s="27" t="s">
        <v>40</v>
      </c>
      <c r="E6" s="28" t="s">
        <v>41</v>
      </c>
    </row>
    <row r="7" spans="2:5" x14ac:dyDescent="0.25">
      <c r="B7" s="16" t="s">
        <v>6</v>
      </c>
      <c r="C7" s="3">
        <v>5</v>
      </c>
      <c r="D7" s="22">
        <v>10.3</v>
      </c>
      <c r="E7" s="24">
        <f>C7*D7</f>
        <v>51.5</v>
      </c>
    </row>
    <row r="8" spans="2:5" x14ac:dyDescent="0.25">
      <c r="B8" s="16" t="s">
        <v>44</v>
      </c>
      <c r="C8" s="3">
        <v>10</v>
      </c>
      <c r="D8" s="22">
        <v>5.3</v>
      </c>
      <c r="E8" s="24">
        <f t="shared" ref="E8:E11" si="0">C8*D8</f>
        <v>53</v>
      </c>
    </row>
    <row r="9" spans="2:5" x14ac:dyDescent="0.25">
      <c r="B9" s="16" t="s">
        <v>45</v>
      </c>
      <c r="C9" s="3">
        <v>5</v>
      </c>
      <c r="D9" s="22">
        <v>2.2999999999999998</v>
      </c>
      <c r="E9" s="24">
        <f t="shared" si="0"/>
        <v>11.5</v>
      </c>
    </row>
    <row r="10" spans="2:5" x14ac:dyDescent="0.25">
      <c r="B10" s="16" t="s">
        <v>46</v>
      </c>
      <c r="C10" s="3">
        <v>3</v>
      </c>
      <c r="D10" s="22">
        <v>1.56</v>
      </c>
      <c r="E10" s="24">
        <f t="shared" si="0"/>
        <v>4.68</v>
      </c>
    </row>
    <row r="11" spans="2:5" ht="15.75" thickBot="1" x14ac:dyDescent="0.3">
      <c r="B11" s="17" t="s">
        <v>47</v>
      </c>
      <c r="C11" s="21">
        <v>15</v>
      </c>
      <c r="D11" s="23">
        <v>2.2999999999999998</v>
      </c>
      <c r="E11" s="25">
        <f t="shared" si="0"/>
        <v>34.5</v>
      </c>
    </row>
    <row r="12" spans="2:5" x14ac:dyDescent="0.25">
      <c r="D12" s="18" t="s">
        <v>48</v>
      </c>
      <c r="E12" s="29">
        <f>SUM(E7:E11)</f>
        <v>155.18</v>
      </c>
    </row>
    <row r="13" spans="2:5" x14ac:dyDescent="0.25">
      <c r="D13" s="19" t="s">
        <v>49</v>
      </c>
      <c r="E13" s="24">
        <f>E12*C5</f>
        <v>23.277000000000001</v>
      </c>
    </row>
    <row r="14" spans="2:5" x14ac:dyDescent="0.25">
      <c r="D14" s="19" t="s">
        <v>42</v>
      </c>
      <c r="E14" s="24">
        <f>MAX(E7:E11)</f>
        <v>53</v>
      </c>
    </row>
    <row r="15" spans="2:5" x14ac:dyDescent="0.25">
      <c r="D15" s="19" t="s">
        <v>43</v>
      </c>
      <c r="E15" s="24">
        <f>MIN(E7:E11)</f>
        <v>4.68</v>
      </c>
    </row>
    <row r="16" spans="2:5" ht="15.75" thickBot="1" x14ac:dyDescent="0.3">
      <c r="D16" s="20" t="s">
        <v>9</v>
      </c>
      <c r="E16" s="25">
        <f>E12-E13</f>
        <v>131.90300000000002</v>
      </c>
    </row>
    <row r="18" spans="2:5" ht="15" customHeight="1" x14ac:dyDescent="0.25">
      <c r="B18" s="44"/>
      <c r="C18" s="44"/>
      <c r="D18" s="44"/>
      <c r="E18" s="44"/>
    </row>
    <row r="19" spans="2:5" ht="15" customHeight="1" x14ac:dyDescent="0.25">
      <c r="B19" s="44"/>
      <c r="C19" s="44"/>
      <c r="D19" s="44"/>
      <c r="E19" s="44"/>
    </row>
    <row r="20" spans="2:5" ht="15" customHeight="1" x14ac:dyDescent="0.25">
      <c r="B20" s="44"/>
      <c r="C20" s="44"/>
      <c r="D20" s="44"/>
      <c r="E20" s="44"/>
    </row>
    <row r="21" spans="2:5" ht="15" customHeight="1" x14ac:dyDescent="0.25">
      <c r="B21" s="44"/>
      <c r="C21" s="44"/>
      <c r="D21" s="44"/>
      <c r="E21" s="44"/>
    </row>
    <row r="22" spans="2:5" ht="15" customHeight="1" x14ac:dyDescent="0.25">
      <c r="B22" s="44"/>
      <c r="C22" s="44"/>
      <c r="D22" s="44"/>
      <c r="E22" s="44"/>
    </row>
    <row r="23" spans="2:5" ht="15" customHeight="1" x14ac:dyDescent="0.25">
      <c r="B23" s="44"/>
      <c r="C23" s="44"/>
      <c r="D23" s="44"/>
      <c r="E23" s="44"/>
    </row>
    <row r="24" spans="2:5" ht="15" customHeight="1" x14ac:dyDescent="0.25">
      <c r="B24" s="44"/>
      <c r="C24" s="44"/>
      <c r="D24" s="44"/>
      <c r="E24" s="44"/>
    </row>
    <row r="25" spans="2:5" ht="15" customHeight="1" x14ac:dyDescent="0.25">
      <c r="B25" s="44"/>
      <c r="C25" s="44"/>
      <c r="D25" s="44"/>
      <c r="E25" s="44"/>
    </row>
    <row r="26" spans="2:5" ht="15" customHeight="1" x14ac:dyDescent="0.25">
      <c r="B26" s="44"/>
      <c r="C26" s="44"/>
      <c r="D26" s="44"/>
      <c r="E26" s="44"/>
    </row>
    <row r="27" spans="2:5" ht="15" customHeight="1" x14ac:dyDescent="0.25">
      <c r="B27" s="44"/>
      <c r="C27" s="44"/>
      <c r="D27" s="44"/>
      <c r="E27" s="44"/>
    </row>
    <row r="28" spans="2:5" ht="15" customHeight="1" x14ac:dyDescent="0.25">
      <c r="B28" s="44"/>
      <c r="C28" s="44"/>
      <c r="D28" s="44"/>
      <c r="E28" s="44"/>
    </row>
    <row r="29" spans="2:5" ht="15" customHeight="1" x14ac:dyDescent="0.25">
      <c r="B29" s="44"/>
      <c r="C29" s="44"/>
      <c r="D29" s="44"/>
      <c r="E29" s="44"/>
    </row>
    <row r="30" spans="2:5" ht="15" customHeight="1" x14ac:dyDescent="0.25">
      <c r="B30" s="44"/>
      <c r="C30" s="44"/>
      <c r="D30" s="44"/>
      <c r="E30" s="44"/>
    </row>
    <row r="31" spans="2:5" ht="15" customHeight="1" x14ac:dyDescent="0.25">
      <c r="B31" s="44"/>
      <c r="C31" s="44"/>
      <c r="D31" s="44"/>
      <c r="E31" s="44"/>
    </row>
    <row r="32" spans="2:5" ht="15" customHeight="1" x14ac:dyDescent="0.25">
      <c r="B32" s="44"/>
      <c r="C32" s="44"/>
      <c r="D32" s="44"/>
      <c r="E32" s="44"/>
    </row>
    <row r="33" spans="2:5" ht="15" customHeight="1" x14ac:dyDescent="0.25">
      <c r="B33" s="44"/>
      <c r="C33" s="44"/>
      <c r="D33" s="44"/>
      <c r="E33" s="44"/>
    </row>
    <row r="34" spans="2:5" ht="15" customHeight="1" x14ac:dyDescent="0.25">
      <c r="B34" s="44"/>
      <c r="C34" s="44"/>
      <c r="D34" s="44"/>
      <c r="E34" s="44"/>
    </row>
    <row r="35" spans="2:5" ht="15" customHeight="1" x14ac:dyDescent="0.25">
      <c r="B35" s="44"/>
      <c r="C35" s="44"/>
      <c r="D35" s="44"/>
      <c r="E35" s="44"/>
    </row>
    <row r="36" spans="2:5" ht="15" customHeight="1" x14ac:dyDescent="0.25">
      <c r="B36" s="44"/>
      <c r="C36" s="44"/>
      <c r="D36" s="44"/>
      <c r="E36" s="44"/>
    </row>
  </sheetData>
  <mergeCells count="4">
    <mergeCell ref="B2:E2"/>
    <mergeCell ref="C3:E3"/>
    <mergeCell ref="C4:E4"/>
    <mergeCell ref="C5:E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BA75-4C63-4498-94F5-78CB962C37D7}">
  <dimension ref="B2:I14"/>
  <sheetViews>
    <sheetView workbookViewId="0">
      <selection activeCell="I22" sqref="I22"/>
    </sheetView>
  </sheetViews>
  <sheetFormatPr defaultRowHeight="15" x14ac:dyDescent="0.25"/>
  <cols>
    <col min="2" max="2" width="11.85546875" customWidth="1"/>
    <col min="3" max="3" width="14.28515625" bestFit="1" customWidth="1"/>
    <col min="4" max="8" width="13.28515625" bestFit="1" customWidth="1"/>
    <col min="9" max="9" width="14.28515625" bestFit="1" customWidth="1"/>
  </cols>
  <sheetData>
    <row r="2" spans="2:9" x14ac:dyDescent="0.25">
      <c r="B2" s="73" t="s">
        <v>53</v>
      </c>
      <c r="C2" s="73"/>
      <c r="D2" s="73"/>
      <c r="E2" s="73"/>
      <c r="F2" s="73"/>
      <c r="G2" s="73"/>
      <c r="H2" s="73"/>
      <c r="I2" s="73"/>
    </row>
    <row r="3" spans="2:9" x14ac:dyDescent="0.25">
      <c r="B3" s="30" t="s">
        <v>1</v>
      </c>
      <c r="C3" s="30" t="s">
        <v>54</v>
      </c>
      <c r="D3" s="30" t="s">
        <v>55</v>
      </c>
      <c r="E3" s="30" t="s">
        <v>56</v>
      </c>
      <c r="F3" s="30" t="s">
        <v>57</v>
      </c>
      <c r="G3" s="30" t="s">
        <v>58</v>
      </c>
      <c r="H3" s="30" t="s">
        <v>59</v>
      </c>
      <c r="I3" s="30" t="s">
        <v>9</v>
      </c>
    </row>
    <row r="4" spans="2:9" x14ac:dyDescent="0.25">
      <c r="B4" s="6" t="s">
        <v>60</v>
      </c>
      <c r="C4" s="1">
        <v>15000</v>
      </c>
      <c r="D4" s="1">
        <v>8000</v>
      </c>
      <c r="E4" s="1">
        <v>10000</v>
      </c>
      <c r="F4" s="1">
        <f>MAX(C4:E4)</f>
        <v>15000</v>
      </c>
      <c r="G4" s="1">
        <f>MIN(C4:E4)</f>
        <v>8000</v>
      </c>
      <c r="H4" s="1">
        <f>AVERAGE(C4:E4)</f>
        <v>11000</v>
      </c>
      <c r="I4" s="5">
        <f>SUM(C4:E4)</f>
        <v>33000</v>
      </c>
    </row>
    <row r="5" spans="2:9" x14ac:dyDescent="0.25">
      <c r="B5" s="6" t="s">
        <v>61</v>
      </c>
      <c r="C5" s="1">
        <v>12000</v>
      </c>
      <c r="D5" s="1">
        <v>9000</v>
      </c>
      <c r="E5" s="1">
        <v>8000</v>
      </c>
      <c r="F5" s="1">
        <f t="shared" ref="F5:F8" si="0">MAX(C5:E5)</f>
        <v>12000</v>
      </c>
      <c r="G5" s="1">
        <f t="shared" ref="G5:G8" si="1">MIN(C5:E5)</f>
        <v>8000</v>
      </c>
      <c r="H5" s="1">
        <f t="shared" ref="H5:H8" si="2">AVERAGE(C5:E5)</f>
        <v>9666.6666666666661</v>
      </c>
      <c r="I5" s="5">
        <f t="shared" ref="I5:I8" si="3">SUM(C5:E5)</f>
        <v>29000</v>
      </c>
    </row>
    <row r="6" spans="2:9" x14ac:dyDescent="0.25">
      <c r="B6" s="6" t="s">
        <v>62</v>
      </c>
      <c r="C6" s="1">
        <v>50000</v>
      </c>
      <c r="D6" s="1">
        <v>45000</v>
      </c>
      <c r="E6" s="1">
        <v>40000</v>
      </c>
      <c r="F6" s="1">
        <f t="shared" si="0"/>
        <v>50000</v>
      </c>
      <c r="G6" s="1">
        <f t="shared" si="1"/>
        <v>40000</v>
      </c>
      <c r="H6" s="1">
        <f t="shared" si="2"/>
        <v>45000</v>
      </c>
      <c r="I6" s="5">
        <f t="shared" si="3"/>
        <v>135000</v>
      </c>
    </row>
    <row r="7" spans="2:9" x14ac:dyDescent="0.25">
      <c r="B7" s="6" t="s">
        <v>63</v>
      </c>
      <c r="C7" s="1">
        <v>12000</v>
      </c>
      <c r="D7" s="1">
        <v>12000</v>
      </c>
      <c r="E7" s="1">
        <v>4500</v>
      </c>
      <c r="F7" s="1">
        <f t="shared" si="0"/>
        <v>12000</v>
      </c>
      <c r="G7" s="1">
        <f t="shared" si="1"/>
        <v>4500</v>
      </c>
      <c r="H7" s="1">
        <f t="shared" si="2"/>
        <v>9500</v>
      </c>
      <c r="I7" s="5">
        <f t="shared" si="3"/>
        <v>28500</v>
      </c>
    </row>
    <row r="8" spans="2:9" x14ac:dyDescent="0.25">
      <c r="B8" s="6" t="s">
        <v>64</v>
      </c>
      <c r="C8" s="1">
        <v>10000</v>
      </c>
      <c r="D8" s="1">
        <v>3000</v>
      </c>
      <c r="E8" s="1">
        <v>3000</v>
      </c>
      <c r="F8" s="1">
        <f t="shared" si="0"/>
        <v>10000</v>
      </c>
      <c r="G8" s="1">
        <f t="shared" si="1"/>
        <v>3000</v>
      </c>
      <c r="H8" s="1">
        <f t="shared" si="2"/>
        <v>5333.333333333333</v>
      </c>
      <c r="I8" s="5">
        <f t="shared" si="3"/>
        <v>16000</v>
      </c>
    </row>
    <row r="9" spans="2:9" x14ac:dyDescent="0.25">
      <c r="B9" s="30" t="s">
        <v>1</v>
      </c>
      <c r="C9" s="30" t="s">
        <v>54</v>
      </c>
      <c r="D9" s="30" t="s">
        <v>55</v>
      </c>
      <c r="E9" s="30" t="s">
        <v>56</v>
      </c>
      <c r="F9" s="30" t="s">
        <v>57</v>
      </c>
      <c r="G9" s="30" t="s">
        <v>58</v>
      </c>
      <c r="H9" s="30" t="s">
        <v>59</v>
      </c>
      <c r="I9" s="30" t="s">
        <v>9</v>
      </c>
    </row>
    <row r="10" spans="2:9" x14ac:dyDescent="0.25">
      <c r="B10" s="6" t="s">
        <v>60</v>
      </c>
      <c r="C10" s="1">
        <v>10000</v>
      </c>
      <c r="D10" s="1">
        <v>9000</v>
      </c>
      <c r="E10" s="1">
        <v>7800</v>
      </c>
      <c r="F10" s="1">
        <f>MAX(C10:E10)</f>
        <v>10000</v>
      </c>
      <c r="G10" s="1">
        <f>MIN(C10:E10)</f>
        <v>7800</v>
      </c>
      <c r="H10" s="1">
        <f>AVERAGE(C10:E10)</f>
        <v>8933.3333333333339</v>
      </c>
      <c r="I10" s="5">
        <f>SUM(C10:E10)</f>
        <v>26800</v>
      </c>
    </row>
    <row r="11" spans="2:9" x14ac:dyDescent="0.25">
      <c r="B11" s="6" t="s">
        <v>61</v>
      </c>
      <c r="C11" s="1">
        <v>15000</v>
      </c>
      <c r="D11" s="1">
        <v>5000</v>
      </c>
      <c r="E11" s="1">
        <v>9800</v>
      </c>
      <c r="F11" s="1">
        <f t="shared" ref="F11:F14" si="4">MAX(C11:E11)</f>
        <v>15000</v>
      </c>
      <c r="G11" s="1">
        <f t="shared" ref="G11:G14" si="5">MIN(C11:E11)</f>
        <v>5000</v>
      </c>
      <c r="H11" s="1">
        <f t="shared" ref="H11:H14" si="6">AVERAGE(C11:E11)</f>
        <v>9933.3333333333339</v>
      </c>
      <c r="I11" s="5">
        <f t="shared" ref="I11:I14" si="7">SUM(C11:E11)</f>
        <v>29800</v>
      </c>
    </row>
    <row r="12" spans="2:9" x14ac:dyDescent="0.25">
      <c r="B12" s="6" t="s">
        <v>62</v>
      </c>
      <c r="C12" s="1">
        <v>45000</v>
      </c>
      <c r="D12" s="1">
        <v>4000</v>
      </c>
      <c r="E12" s="1">
        <v>4500</v>
      </c>
      <c r="F12" s="1">
        <f t="shared" si="4"/>
        <v>45000</v>
      </c>
      <c r="G12" s="1">
        <f t="shared" si="5"/>
        <v>4000</v>
      </c>
      <c r="H12" s="1">
        <f t="shared" si="6"/>
        <v>17833.333333333332</v>
      </c>
      <c r="I12" s="5">
        <f t="shared" si="7"/>
        <v>53500</v>
      </c>
    </row>
    <row r="13" spans="2:9" x14ac:dyDescent="0.25">
      <c r="B13" s="6" t="s">
        <v>63</v>
      </c>
      <c r="C13" s="1">
        <v>56000</v>
      </c>
      <c r="D13" s="1">
        <v>52000</v>
      </c>
      <c r="E13" s="1">
        <v>4500</v>
      </c>
      <c r="F13" s="1">
        <f t="shared" si="4"/>
        <v>56000</v>
      </c>
      <c r="G13" s="1">
        <f t="shared" si="5"/>
        <v>4500</v>
      </c>
      <c r="H13" s="1">
        <f t="shared" si="6"/>
        <v>37500</v>
      </c>
      <c r="I13" s="5">
        <f t="shared" si="7"/>
        <v>112500</v>
      </c>
    </row>
    <row r="14" spans="2:9" x14ac:dyDescent="0.25">
      <c r="B14" s="6" t="s">
        <v>64</v>
      </c>
      <c r="C14" s="1">
        <v>12000</v>
      </c>
      <c r="D14" s="1">
        <v>1000</v>
      </c>
      <c r="E14" s="1">
        <v>8500</v>
      </c>
      <c r="F14" s="1">
        <f t="shared" si="4"/>
        <v>12000</v>
      </c>
      <c r="G14" s="1">
        <f t="shared" si="5"/>
        <v>1000</v>
      </c>
      <c r="H14" s="1">
        <f t="shared" si="6"/>
        <v>7166.666666666667</v>
      </c>
      <c r="I14" s="5">
        <f t="shared" si="7"/>
        <v>21500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43A7C-3DEC-4C8A-9A7E-F96ABC47EB7D}">
  <dimension ref="D4:J10"/>
  <sheetViews>
    <sheetView workbookViewId="0">
      <selection activeCell="K14" sqref="K14"/>
    </sheetView>
  </sheetViews>
  <sheetFormatPr defaultRowHeight="15" x14ac:dyDescent="0.25"/>
  <cols>
    <col min="4" max="4" width="12.5703125" customWidth="1"/>
    <col min="5" max="5" width="11.42578125" bestFit="1" customWidth="1"/>
    <col min="7" max="7" width="9.5703125" bestFit="1" customWidth="1"/>
    <col min="8" max="8" width="13.42578125" bestFit="1" customWidth="1"/>
    <col min="9" max="9" width="18.42578125" bestFit="1" customWidth="1"/>
  </cols>
  <sheetData>
    <row r="4" spans="4:10" x14ac:dyDescent="0.25">
      <c r="D4" s="74" t="s">
        <v>0</v>
      </c>
      <c r="E4" s="75"/>
      <c r="F4" s="75"/>
      <c r="G4" s="76"/>
      <c r="H4" s="33" t="s">
        <v>21</v>
      </c>
      <c r="I4" s="34">
        <v>2</v>
      </c>
      <c r="J4" s="46"/>
    </row>
    <row r="5" spans="4:10" x14ac:dyDescent="0.25">
      <c r="D5" s="32" t="s">
        <v>1</v>
      </c>
      <c r="E5" s="30" t="s">
        <v>2</v>
      </c>
      <c r="F5" s="30" t="s">
        <v>65</v>
      </c>
      <c r="G5" s="30" t="s">
        <v>66</v>
      </c>
      <c r="H5" s="30" t="s">
        <v>67</v>
      </c>
      <c r="I5" s="30" t="s">
        <v>68</v>
      </c>
      <c r="J5" s="45" t="s">
        <v>96</v>
      </c>
    </row>
    <row r="6" spans="4:10" x14ac:dyDescent="0.25">
      <c r="D6" s="6" t="s">
        <v>6</v>
      </c>
      <c r="E6" s="6">
        <v>6</v>
      </c>
      <c r="F6" s="1">
        <v>3.5</v>
      </c>
      <c r="G6" s="1">
        <f>F6+F6*I$4</f>
        <v>10.5</v>
      </c>
      <c r="H6" s="31">
        <v>44540</v>
      </c>
      <c r="I6" s="6">
        <f ca="1">TODAY()-H6</f>
        <v>528</v>
      </c>
      <c r="J6" t="str">
        <f>IF(E6&lt;10,"Comprar","OK")</f>
        <v>Comprar</v>
      </c>
    </row>
    <row r="7" spans="4:10" x14ac:dyDescent="0.25">
      <c r="D7" s="6" t="s">
        <v>69</v>
      </c>
      <c r="E7" s="6">
        <v>10</v>
      </c>
      <c r="F7" s="1">
        <v>1.3</v>
      </c>
      <c r="G7" s="1">
        <f t="shared" ref="G7:G10" si="0">F7+F7*I$4</f>
        <v>3.9000000000000004</v>
      </c>
      <c r="H7" s="31">
        <v>44849</v>
      </c>
      <c r="I7" s="6">
        <f t="shared" ref="I7:I10" ca="1" si="1">TODAY()-H7</f>
        <v>219</v>
      </c>
      <c r="J7" t="str">
        <f t="shared" ref="J7:J10" si="2">IF(E7&lt;10,"Comprar","OK")</f>
        <v>OK</v>
      </c>
    </row>
    <row r="8" spans="4:10" x14ac:dyDescent="0.25">
      <c r="D8" s="6" t="s">
        <v>7</v>
      </c>
      <c r="E8" s="6">
        <v>10</v>
      </c>
      <c r="F8" s="1">
        <v>0.35</v>
      </c>
      <c r="G8" s="1">
        <f t="shared" si="0"/>
        <v>1.0499999999999998</v>
      </c>
      <c r="H8" s="31">
        <v>44959</v>
      </c>
      <c r="I8" s="6">
        <f t="shared" ca="1" si="1"/>
        <v>109</v>
      </c>
      <c r="J8" t="str">
        <f t="shared" si="2"/>
        <v>OK</v>
      </c>
    </row>
    <row r="9" spans="4:10" x14ac:dyDescent="0.25">
      <c r="D9" s="6" t="s">
        <v>46</v>
      </c>
      <c r="E9" s="6">
        <v>5</v>
      </c>
      <c r="F9" s="1">
        <v>1.23</v>
      </c>
      <c r="G9" s="1">
        <f t="shared" si="0"/>
        <v>3.69</v>
      </c>
      <c r="H9" s="31">
        <v>44540</v>
      </c>
      <c r="I9" s="6">
        <f t="shared" ca="1" si="1"/>
        <v>528</v>
      </c>
      <c r="J9" t="str">
        <f t="shared" si="2"/>
        <v>Comprar</v>
      </c>
    </row>
    <row r="10" spans="4:10" x14ac:dyDescent="0.25">
      <c r="D10" s="6" t="s">
        <v>70</v>
      </c>
      <c r="E10" s="6">
        <v>4</v>
      </c>
      <c r="F10" s="1">
        <v>9.4499999999999993</v>
      </c>
      <c r="G10" s="1">
        <f t="shared" si="0"/>
        <v>28.349999999999998</v>
      </c>
      <c r="H10" s="31">
        <v>45056</v>
      </c>
      <c r="I10" s="6">
        <f t="shared" ca="1" si="1"/>
        <v>12</v>
      </c>
      <c r="J10" t="str">
        <f t="shared" si="2"/>
        <v>Comprar</v>
      </c>
    </row>
  </sheetData>
  <mergeCells count="1">
    <mergeCell ref="D4:G4"/>
  </mergeCells>
  <conditionalFormatting sqref="J6:J10">
    <cfRule type="cellIs" dxfId="6" priority="1" operator="equal">
      <formula>"OK"</formula>
    </cfRule>
    <cfRule type="cellIs" dxfId="5" priority="2" operator="equal">
      <formula>"Comprar"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20EE-9DF0-4D5B-9897-2B614A447014}">
  <dimension ref="B2:H8"/>
  <sheetViews>
    <sheetView workbookViewId="0">
      <selection activeCell="N13" sqref="N13"/>
    </sheetView>
  </sheetViews>
  <sheetFormatPr defaultRowHeight="15" x14ac:dyDescent="0.25"/>
  <cols>
    <col min="2" max="2" width="11.42578125" bestFit="1" customWidth="1"/>
    <col min="3" max="6" width="11.28515625" bestFit="1" customWidth="1"/>
    <col min="7" max="7" width="11.28515625" customWidth="1"/>
    <col min="8" max="8" width="10.7109375" customWidth="1"/>
  </cols>
  <sheetData>
    <row r="2" spans="2:8" x14ac:dyDescent="0.25">
      <c r="B2" s="58" t="s">
        <v>71</v>
      </c>
      <c r="C2" s="58"/>
      <c r="D2" s="58"/>
      <c r="E2" s="58"/>
      <c r="F2" s="58"/>
      <c r="G2" s="58"/>
      <c r="H2" s="58"/>
    </row>
    <row r="3" spans="2:8" x14ac:dyDescent="0.25">
      <c r="B3" s="30" t="s">
        <v>82</v>
      </c>
      <c r="C3" s="30" t="s">
        <v>72</v>
      </c>
      <c r="D3" s="30" t="s">
        <v>73</v>
      </c>
      <c r="E3" s="30" t="s">
        <v>74</v>
      </c>
      <c r="F3" s="30" t="s">
        <v>75</v>
      </c>
      <c r="G3" s="35" t="s">
        <v>59</v>
      </c>
      <c r="H3" s="30" t="s">
        <v>81</v>
      </c>
    </row>
    <row r="4" spans="2:8" x14ac:dyDescent="0.25">
      <c r="B4" s="3" t="s">
        <v>76</v>
      </c>
      <c r="C4" s="3">
        <v>7</v>
      </c>
      <c r="D4" s="3">
        <v>7</v>
      </c>
      <c r="E4" s="3">
        <v>6</v>
      </c>
      <c r="F4" s="3">
        <v>8</v>
      </c>
      <c r="G4" s="3">
        <f>AVERAGE(C4:F4)</f>
        <v>7</v>
      </c>
      <c r="H4" s="3" t="str">
        <f>IF(G4&gt;=7,"Aprovado","Reprovado")</f>
        <v>Aprovado</v>
      </c>
    </row>
    <row r="5" spans="2:8" x14ac:dyDescent="0.25">
      <c r="B5" s="3" t="s">
        <v>77</v>
      </c>
      <c r="C5" s="3">
        <v>10</v>
      </c>
      <c r="D5" s="3">
        <v>4</v>
      </c>
      <c r="E5" s="3">
        <v>8</v>
      </c>
      <c r="F5" s="3">
        <v>8</v>
      </c>
      <c r="G5" s="3">
        <f t="shared" ref="G5:G8" si="0">AVERAGE(C5:F5)</f>
        <v>7.5</v>
      </c>
      <c r="H5" s="3" t="str">
        <f t="shared" ref="H5:H8" si="1">IF(G5&gt;=7,"Aprovado","Reprovado")</f>
        <v>Aprovado</v>
      </c>
    </row>
    <row r="6" spans="2:8" x14ac:dyDescent="0.25">
      <c r="B6" s="3" t="s">
        <v>78</v>
      </c>
      <c r="C6" s="3">
        <v>3</v>
      </c>
      <c r="D6" s="3">
        <v>5</v>
      </c>
      <c r="E6" s="3">
        <v>8</v>
      </c>
      <c r="F6" s="3">
        <v>8</v>
      </c>
      <c r="G6" s="3">
        <f t="shared" si="0"/>
        <v>6</v>
      </c>
      <c r="H6" s="3" t="str">
        <f t="shared" si="1"/>
        <v>Reprovado</v>
      </c>
    </row>
    <row r="7" spans="2:8" x14ac:dyDescent="0.25">
      <c r="B7" s="3" t="s">
        <v>79</v>
      </c>
      <c r="C7" s="3">
        <v>8</v>
      </c>
      <c r="D7" s="3">
        <v>8</v>
      </c>
      <c r="E7" s="3">
        <v>5</v>
      </c>
      <c r="F7" s="3">
        <v>8</v>
      </c>
      <c r="G7" s="3">
        <f t="shared" si="0"/>
        <v>7.25</v>
      </c>
      <c r="H7" s="3" t="str">
        <f t="shared" si="1"/>
        <v>Aprovado</v>
      </c>
    </row>
    <row r="8" spans="2:8" x14ac:dyDescent="0.25">
      <c r="B8" s="3" t="s">
        <v>80</v>
      </c>
      <c r="C8" s="3">
        <v>7</v>
      </c>
      <c r="D8" s="3">
        <v>7</v>
      </c>
      <c r="E8" s="3">
        <v>5</v>
      </c>
      <c r="F8" s="3">
        <v>9</v>
      </c>
      <c r="G8" s="3">
        <f t="shared" si="0"/>
        <v>7</v>
      </c>
      <c r="H8" s="3" t="str">
        <f t="shared" si="1"/>
        <v>Aprovado</v>
      </c>
    </row>
  </sheetData>
  <mergeCells count="1">
    <mergeCell ref="B2:H2"/>
  </mergeCells>
  <conditionalFormatting sqref="H4:H8">
    <cfRule type="cellIs" dxfId="4" priority="1" operator="equal">
      <formula>"Reprovado"</formula>
    </cfRule>
    <cfRule type="cellIs" dxfId="3" priority="2" operator="equal">
      <formula>"Aprovado"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6E7-5C96-49B8-B869-E65D96DDAB7E}">
  <dimension ref="B2:H16"/>
  <sheetViews>
    <sheetView workbookViewId="0">
      <selection activeCell="H5" sqref="H5"/>
    </sheetView>
  </sheetViews>
  <sheetFormatPr defaultRowHeight="15" x14ac:dyDescent="0.25"/>
  <cols>
    <col min="2" max="2" width="12.140625" bestFit="1" customWidth="1"/>
    <col min="3" max="8" width="13.28515625" bestFit="1" customWidth="1"/>
  </cols>
  <sheetData>
    <row r="2" spans="2:8" ht="18.75" x14ac:dyDescent="0.3">
      <c r="B2" s="78" t="s">
        <v>83</v>
      </c>
      <c r="C2" s="78"/>
      <c r="D2" s="78"/>
      <c r="E2" s="78"/>
      <c r="F2" s="78"/>
      <c r="G2" s="78"/>
      <c r="H2" s="78"/>
    </row>
    <row r="3" spans="2:8" x14ac:dyDescent="0.25">
      <c r="B3" s="77" t="s">
        <v>84</v>
      </c>
      <c r="C3" s="36" t="s">
        <v>54</v>
      </c>
      <c r="D3" s="36" t="s">
        <v>85</v>
      </c>
      <c r="E3" s="36" t="s">
        <v>56</v>
      </c>
      <c r="F3" s="36" t="s">
        <v>86</v>
      </c>
      <c r="G3" s="36" t="s">
        <v>87</v>
      </c>
      <c r="H3" s="36" t="s">
        <v>88</v>
      </c>
    </row>
    <row r="4" spans="2:8" x14ac:dyDescent="0.25">
      <c r="B4" s="77"/>
      <c r="C4" s="1">
        <v>10000</v>
      </c>
      <c r="D4" s="1">
        <v>15000</v>
      </c>
      <c r="E4" s="1">
        <v>8000</v>
      </c>
      <c r="F4" s="1">
        <v>10000</v>
      </c>
      <c r="G4" s="1">
        <v>15000</v>
      </c>
      <c r="H4" s="1">
        <v>6000</v>
      </c>
    </row>
    <row r="5" spans="2:8" ht="15.75" thickBot="1" x14ac:dyDescent="0.3"/>
    <row r="6" spans="2:8" x14ac:dyDescent="0.25">
      <c r="B6" s="79" t="s">
        <v>89</v>
      </c>
      <c r="C6" s="80"/>
      <c r="D6" s="80"/>
      <c r="E6" s="80"/>
      <c r="F6" s="80"/>
      <c r="G6" s="80"/>
      <c r="H6" s="81"/>
    </row>
    <row r="7" spans="2:8" x14ac:dyDescent="0.25">
      <c r="B7" s="19" t="s">
        <v>90</v>
      </c>
      <c r="C7" s="1">
        <v>1500</v>
      </c>
      <c r="D7" s="1">
        <v>1500</v>
      </c>
      <c r="E7" s="1">
        <v>1500</v>
      </c>
      <c r="F7" s="1">
        <v>1500</v>
      </c>
      <c r="G7" s="1">
        <v>1500</v>
      </c>
      <c r="H7" s="37">
        <v>1500</v>
      </c>
    </row>
    <row r="8" spans="2:8" x14ac:dyDescent="0.25">
      <c r="B8" s="19" t="s">
        <v>91</v>
      </c>
      <c r="C8" s="1">
        <v>150</v>
      </c>
      <c r="D8" s="1">
        <v>100</v>
      </c>
      <c r="E8" s="1">
        <v>150</v>
      </c>
      <c r="F8" s="1">
        <v>1000</v>
      </c>
      <c r="G8" s="1">
        <v>150</v>
      </c>
      <c r="H8" s="37">
        <v>100</v>
      </c>
    </row>
    <row r="9" spans="2:8" x14ac:dyDescent="0.25">
      <c r="B9" s="19" t="s">
        <v>92</v>
      </c>
      <c r="C9" s="1">
        <v>200</v>
      </c>
      <c r="D9" s="1">
        <v>200</v>
      </c>
      <c r="E9" s="1">
        <v>200</v>
      </c>
      <c r="F9" s="1">
        <v>200</v>
      </c>
      <c r="G9" s="1">
        <v>200</v>
      </c>
      <c r="H9" s="37">
        <v>200</v>
      </c>
    </row>
    <row r="10" spans="2:8" x14ac:dyDescent="0.25">
      <c r="B10" s="19" t="s">
        <v>93</v>
      </c>
      <c r="C10" s="1">
        <v>600</v>
      </c>
      <c r="D10" s="1">
        <v>550</v>
      </c>
      <c r="E10" s="1">
        <v>1000</v>
      </c>
      <c r="F10" s="1">
        <v>1200</v>
      </c>
      <c r="G10" s="1">
        <v>550</v>
      </c>
      <c r="H10" s="37">
        <v>650</v>
      </c>
    </row>
    <row r="11" spans="2:8" x14ac:dyDescent="0.25">
      <c r="B11" s="19" t="s">
        <v>94</v>
      </c>
      <c r="C11" s="1">
        <v>2000</v>
      </c>
      <c r="D11" s="1">
        <v>2500</v>
      </c>
      <c r="E11" s="1">
        <v>1500</v>
      </c>
      <c r="F11" s="1">
        <v>2000</v>
      </c>
      <c r="G11" s="1">
        <v>1960</v>
      </c>
      <c r="H11" s="37">
        <v>1500</v>
      </c>
    </row>
    <row r="12" spans="2:8" ht="15.75" thickBot="1" x14ac:dyDescent="0.3">
      <c r="B12" s="20" t="s">
        <v>97</v>
      </c>
      <c r="C12" s="38">
        <v>5000</v>
      </c>
      <c r="D12" s="38">
        <v>1000</v>
      </c>
      <c r="E12" s="38">
        <v>1000</v>
      </c>
      <c r="F12" s="38">
        <v>1500</v>
      </c>
      <c r="G12" s="38">
        <v>1560</v>
      </c>
      <c r="H12" s="39">
        <v>5000</v>
      </c>
    </row>
    <row r="13" spans="2:8" ht="15.75" thickBot="1" x14ac:dyDescent="0.3">
      <c r="C13" s="40"/>
      <c r="D13" s="40"/>
      <c r="E13" s="40"/>
      <c r="F13" s="40"/>
      <c r="G13" s="40"/>
      <c r="H13" s="40"/>
    </row>
    <row r="14" spans="2:8" x14ac:dyDescent="0.25">
      <c r="B14" s="18" t="s">
        <v>9</v>
      </c>
      <c r="C14" s="41">
        <f>SUM(C7:C12)</f>
        <v>9450</v>
      </c>
      <c r="D14" s="41">
        <f t="shared" ref="D14:H14" si="0">SUM(D7:D12)</f>
        <v>5850</v>
      </c>
      <c r="E14" s="41">
        <f t="shared" si="0"/>
        <v>5350</v>
      </c>
      <c r="F14" s="41">
        <f t="shared" si="0"/>
        <v>7400</v>
      </c>
      <c r="G14" s="41">
        <f t="shared" si="0"/>
        <v>5920</v>
      </c>
      <c r="H14" s="42">
        <f t="shared" si="0"/>
        <v>8950</v>
      </c>
    </row>
    <row r="15" spans="2:8" x14ac:dyDescent="0.25">
      <c r="B15" s="19" t="s">
        <v>95</v>
      </c>
      <c r="C15" s="1">
        <f>C4-C14</f>
        <v>550</v>
      </c>
      <c r="D15" s="1">
        <f t="shared" ref="D15:H15" si="1">D4-D14</f>
        <v>9150</v>
      </c>
      <c r="E15" s="1">
        <f t="shared" si="1"/>
        <v>2650</v>
      </c>
      <c r="F15" s="1">
        <f t="shared" si="1"/>
        <v>2600</v>
      </c>
      <c r="G15" s="1">
        <f t="shared" si="1"/>
        <v>9080</v>
      </c>
      <c r="H15" s="37">
        <f t="shared" si="1"/>
        <v>-2950</v>
      </c>
    </row>
    <row r="16" spans="2:8" ht="15.75" thickBot="1" x14ac:dyDescent="0.3">
      <c r="B16" s="20" t="s">
        <v>96</v>
      </c>
      <c r="C16" s="43" t="str">
        <f t="shared" ref="C16:H16" si="2">IF(C15&lt;1000,"Prejuízo Total",IF(C15&lt;=3000,"Lucro médio","Lucro Total"))</f>
        <v>Prejuízo Total</v>
      </c>
      <c r="D16" s="43" t="str">
        <f t="shared" si="2"/>
        <v>Lucro Total</v>
      </c>
      <c r="E16" s="43" t="str">
        <f t="shared" si="2"/>
        <v>Lucro médio</v>
      </c>
      <c r="F16" s="43" t="str">
        <f t="shared" si="2"/>
        <v>Lucro médio</v>
      </c>
      <c r="G16" s="43" t="str">
        <f t="shared" si="2"/>
        <v>Lucro Total</v>
      </c>
      <c r="H16" s="43" t="str">
        <f t="shared" si="2"/>
        <v>Prejuízo Total</v>
      </c>
    </row>
  </sheetData>
  <mergeCells count="3">
    <mergeCell ref="B3:B4"/>
    <mergeCell ref="B2:H2"/>
    <mergeCell ref="B6:H6"/>
  </mergeCells>
  <conditionalFormatting sqref="C16:H16">
    <cfRule type="cellIs" dxfId="2" priority="1" operator="equal">
      <formula>"Lucro Total"</formula>
    </cfRule>
    <cfRule type="cellIs" dxfId="1" priority="2" operator="equal">
      <formula>"Lucro médio"</formula>
    </cfRule>
    <cfRule type="cellIs" dxfId="0" priority="4" operator="equal">
      <formula>"Prejuízo Total"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CCE31-13E3-49E3-B0E4-6065A92FC6F3}">
  <dimension ref="B3:I15"/>
  <sheetViews>
    <sheetView tabSelected="1" workbookViewId="0">
      <selection activeCell="P22" sqref="P22"/>
    </sheetView>
  </sheetViews>
  <sheetFormatPr defaultRowHeight="15" x14ac:dyDescent="0.25"/>
  <cols>
    <col min="2" max="2" width="10" customWidth="1"/>
    <col min="3" max="3" width="9.5703125" bestFit="1" customWidth="1"/>
    <col min="5" max="5" width="10.5703125" bestFit="1" customWidth="1"/>
  </cols>
  <sheetData>
    <row r="3" spans="2:9" x14ac:dyDescent="0.25">
      <c r="B3" s="58" t="s">
        <v>98</v>
      </c>
      <c r="C3" s="58"/>
      <c r="D3" s="58"/>
      <c r="E3" s="58"/>
    </row>
    <row r="4" spans="2:9" x14ac:dyDescent="0.25">
      <c r="B4" s="50" t="s">
        <v>59</v>
      </c>
      <c r="C4" s="51">
        <f>AVERAGE(E7:E14)</f>
        <v>12.5</v>
      </c>
      <c r="D4" s="50" t="s">
        <v>9</v>
      </c>
      <c r="E4" s="51">
        <f>SUM(E7:E14)</f>
        <v>100</v>
      </c>
    </row>
    <row r="5" spans="2:9" x14ac:dyDescent="0.25">
      <c r="B5" s="50" t="s">
        <v>104</v>
      </c>
      <c r="C5" s="51">
        <f>SUBTOTAL(1,E7:E14)</f>
        <v>12.5</v>
      </c>
      <c r="D5" s="50" t="s">
        <v>104</v>
      </c>
      <c r="E5" s="51">
        <f>SUBTOTAL(9,E7:E14)</f>
        <v>100</v>
      </c>
    </row>
    <row r="6" spans="2:9" ht="15.75" thickBot="1" x14ac:dyDescent="0.3">
      <c r="B6" s="49" t="s">
        <v>38</v>
      </c>
      <c r="C6" s="49" t="s">
        <v>1</v>
      </c>
      <c r="D6" s="49" t="s">
        <v>99</v>
      </c>
      <c r="E6" s="49" t="s">
        <v>3</v>
      </c>
      <c r="G6" s="52" t="s">
        <v>105</v>
      </c>
      <c r="H6" s="52" t="s">
        <v>106</v>
      </c>
      <c r="I6" s="52" t="s">
        <v>3</v>
      </c>
    </row>
    <row r="7" spans="2:9" x14ac:dyDescent="0.25">
      <c r="B7" s="48">
        <v>45204</v>
      </c>
      <c r="C7" s="6" t="s">
        <v>100</v>
      </c>
      <c r="D7" s="6" t="s">
        <v>102</v>
      </c>
      <c r="E7" s="1">
        <v>10</v>
      </c>
      <c r="G7" s="53" t="s">
        <v>102</v>
      </c>
      <c r="H7" s="54">
        <f>COUNTIF(D7:D14,"Tiago")</f>
        <v>3</v>
      </c>
      <c r="I7" s="55">
        <f>SUMIF(D7:D14,"Tiago",E7:E14)</f>
        <v>30</v>
      </c>
    </row>
    <row r="8" spans="2:9" x14ac:dyDescent="0.25">
      <c r="B8" s="48">
        <v>45204</v>
      </c>
      <c r="C8" s="6" t="s">
        <v>101</v>
      </c>
      <c r="D8" s="6" t="s">
        <v>103</v>
      </c>
      <c r="E8" s="1">
        <v>20</v>
      </c>
      <c r="G8" s="16" t="s">
        <v>103</v>
      </c>
      <c r="H8" s="6">
        <f>COUNTIF(D7:D14,"Rafaela")</f>
        <v>3</v>
      </c>
      <c r="I8" s="56">
        <f>SUMIF(D7:D14,"Rafaela",E7:E14)</f>
        <v>50</v>
      </c>
    </row>
    <row r="9" spans="2:9" ht="15.75" thickBot="1" x14ac:dyDescent="0.3">
      <c r="B9" s="48">
        <v>45204</v>
      </c>
      <c r="C9" s="6" t="s">
        <v>100</v>
      </c>
      <c r="D9" s="6" t="s">
        <v>52</v>
      </c>
      <c r="E9" s="1">
        <v>10</v>
      </c>
      <c r="G9" s="17" t="s">
        <v>52</v>
      </c>
      <c r="H9" s="43">
        <f>COUNTIF(D7:D14,"Pedro")</f>
        <v>2</v>
      </c>
      <c r="I9" s="57">
        <f>SUMIF(D7:D14,"Pedro",E7:E14)</f>
        <v>20</v>
      </c>
    </row>
    <row r="10" spans="2:9" x14ac:dyDescent="0.25">
      <c r="B10" s="48">
        <v>45205</v>
      </c>
      <c r="C10" s="6" t="s">
        <v>100</v>
      </c>
      <c r="D10" s="6" t="s">
        <v>102</v>
      </c>
      <c r="E10" s="1">
        <v>10</v>
      </c>
    </row>
    <row r="11" spans="2:9" x14ac:dyDescent="0.25">
      <c r="B11" s="48">
        <v>45205</v>
      </c>
      <c r="C11" s="6" t="s">
        <v>100</v>
      </c>
      <c r="D11" s="6" t="s">
        <v>52</v>
      </c>
      <c r="E11" s="1">
        <v>10</v>
      </c>
    </row>
    <row r="12" spans="2:9" x14ac:dyDescent="0.25">
      <c r="B12" s="48">
        <v>45208</v>
      </c>
      <c r="C12" s="6" t="s">
        <v>101</v>
      </c>
      <c r="D12" s="6" t="s">
        <v>103</v>
      </c>
      <c r="E12" s="1">
        <v>20</v>
      </c>
    </row>
    <row r="13" spans="2:9" x14ac:dyDescent="0.25">
      <c r="B13" s="48">
        <v>45208</v>
      </c>
      <c r="C13" s="6" t="s">
        <v>100</v>
      </c>
      <c r="D13" s="6" t="s">
        <v>103</v>
      </c>
      <c r="E13" s="1">
        <v>10</v>
      </c>
    </row>
    <row r="14" spans="2:9" x14ac:dyDescent="0.25">
      <c r="B14" s="48">
        <v>45208</v>
      </c>
      <c r="C14" s="6" t="s">
        <v>100</v>
      </c>
      <c r="D14" s="6" t="s">
        <v>102</v>
      </c>
      <c r="E14" s="1">
        <v>10</v>
      </c>
    </row>
    <row r="15" spans="2:9" x14ac:dyDescent="0.25">
      <c r="B15" s="47"/>
    </row>
  </sheetData>
  <autoFilter ref="B6:E14" xr:uid="{7C1CCE31-13E3-49E3-B0E4-6065A92FC6F3}"/>
  <mergeCells count="1">
    <mergeCell ref="B3:E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Controle de estoque 1</vt:lpstr>
      <vt:lpstr>Folha simplificada</vt:lpstr>
      <vt:lpstr>controledeestoquelucro</vt:lpstr>
      <vt:lpstr>Recibo</vt:lpstr>
      <vt:lpstr>Empresa Nacional</vt:lpstr>
      <vt:lpstr>Controle de estoque 2</vt:lpstr>
      <vt:lpstr>Boletim Escolar</vt:lpstr>
      <vt:lpstr>Financeiro</vt:lpstr>
      <vt:lpstr>Relatório de vendas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cp:lastPrinted>2023-05-07T22:27:23Z</cp:lastPrinted>
  <dcterms:created xsi:type="dcterms:W3CDTF">2023-05-02T23:32:35Z</dcterms:created>
  <dcterms:modified xsi:type="dcterms:W3CDTF">2023-05-22T22:32:12Z</dcterms:modified>
</cp:coreProperties>
</file>