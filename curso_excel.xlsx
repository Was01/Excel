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A9E937B1-9584-4AD7-BE79-2F43407CBB77}" xr6:coauthVersionLast="47" xr6:coauthVersionMax="47" xr10:uidLastSave="{00000000-0000-0000-0000-000000000000}"/>
  <bookViews>
    <workbookView xWindow="-120" yWindow="-120" windowWidth="29040" windowHeight="15840" activeTab="5" xr2:uid="{04619F30-6160-4E7C-8B00-7138000C4EEC}"/>
  </bookViews>
  <sheets>
    <sheet name="Controle de estoque 1" sheetId="1" r:id="rId1"/>
    <sheet name="Folha simplificada" sheetId="3" r:id="rId2"/>
    <sheet name="controledeestoquelucro" sheetId="4" r:id="rId3"/>
    <sheet name="Recibo" sheetId="5" r:id="rId4"/>
    <sheet name="Empresa Nacional" sheetId="6" r:id="rId5"/>
    <sheet name="Controle de estoque 2" sheetId="7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5" l="1"/>
  <c r="I7" i="7"/>
  <c r="I8" i="7"/>
  <c r="I9" i="7"/>
  <c r="I10" i="7"/>
  <c r="I6" i="7"/>
  <c r="G7" i="7"/>
  <c r="G8" i="7"/>
  <c r="G9" i="7"/>
  <c r="G10" i="7"/>
  <c r="G6" i="7"/>
  <c r="G4" i="6"/>
  <c r="F11" i="6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F4" i="6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<sst xmlns="http://schemas.openxmlformats.org/spreadsheetml/2006/main" count="100" uniqueCount="72">
  <si>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</si>
  <si>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</si>
  <si>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</si>
  <si>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</si>
  <si>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</si>
  <si>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</si>
  <si>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</si>
  <si>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</si>
  <si>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</si>
  <si>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</si>
  <si>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</si>
  <si>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</si>
  <si>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</si>
  <si>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</si>
  <si>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</si>
  <si>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</si>
  <si>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</si>
  <si>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</si>
  <si>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</si>
  <si>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</si>
  <si>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</si>
  <si>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</si>
  <si>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</si>
  <si>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</si>
  <si>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</si>
  <si>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</si>
  <si>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</si>
  <si>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</si>
  <si>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</si>
  <si>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</si>
  <si>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</si>
  <si>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</si>
  <si>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</si>
  <si>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</si>
  <si>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</si>
  <si>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</si>
  <si>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</si>
  <si>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</si>
  <si>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</si>
  <si>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</si>
  <si>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</si>
  <si>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</si>
  <si>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</si>
  <si>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</si>
  <si>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</si>
  <si>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</si>
  <si>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</si>
  <si>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</si>
  <si>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</si>
  <si>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</si>
  <si>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</si>
  <si>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</si>
  <si>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</si>
  <si>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Gráfico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</si>
  <si>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</si>
  <si>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</si>
  <si>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</si>
  <si>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</si>
  <si>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</si>
  <si>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</si>
  <si>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</si>
  <si>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</si>
  <si>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</si>
  <si>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</si>
  <si>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</si>
  <si>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</si>
  <si>
    <t>Vl. Custo</t>
  </si>
  <si>
    <t>Vl. Venda</t>
  </si>
  <si>
    <t>Data Validade</t>
  </si>
  <si>
    <t>Dias p/ vencimento</t>
  </si>
  <si>
    <t>Biscoito</t>
  </si>
  <si>
    <t>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</si>
</sst>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6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6" fillId="4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4" fontId="0" fillId="0" borderId="1" xfId="0" applyNumberFormat="1" applyBorder="1"/>
    <xf numFmtId="14" fontId="1" fillId="2" borderId="2" xfId="0" applyNumberFormat="1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4" xfId="0" applyNumberFormat="1" applyFont="1" applyFill="1" applyBorder="1" applyAlignment="1">
      <alignment horizontal="center"/>
    </xf>
    <xf numFmtId="14" fontId="6" fillId="4" borderId="1" xfId="0" applyNumberFormat="1" applyFont="1" applyFill="1" applyBorder="1"/>
    <xf numFmtId="14" fontId="6" fillId="4" borderId="1" xfId="0" applyNumberFormat="1" applyFont="1" applyFill="1" applyBorder="1" applyAlignment="1">
      <alignment horizontal="center"/>
    </xf>
    <xf numFmtId="9" fontId="6" fillId="4" borderId="1" xfId="0" applyNumberFormat="1" applyFont="1" applyFill="1" applyBorder="1" applyAlignment="1">
      <alignment horizontal="center"/>
    </xf>
    <xf numFmtId="0" fontId="0" fillId="0" borderId="1" xfId="0" applyNumberFormat="1" applyBorder="1"/>
    <xf numFmtId="14" fontId="0" fillId="0" borderId="1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31" t="s">
        <v>0</v>
      </c>
      <c r="C2" s="31"/>
      <c r="D2" s="31"/>
      <c r="E2" s="31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32" t="s">
        <v>9</v>
      </c>
      <c r="C8" s="32"/>
      <c r="D8" s="32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33" t="s">
        <v>10</v>
      </c>
      <c r="C2" s="33"/>
      <c r="D2" s="33"/>
      <c r="E2" s="33"/>
      <c r="F2" s="33"/>
      <c r="G2" s="33"/>
      <c r="H2" s="33"/>
      <c r="I2" s="33"/>
      <c r="J2" s="33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G9" sqref="G9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34" t="s">
        <v>20</v>
      </c>
      <c r="C2" s="35"/>
      <c r="D2" s="35"/>
      <c r="E2" s="35"/>
      <c r="F2" s="35"/>
      <c r="G2" s="35"/>
      <c r="H2" s="35"/>
      <c r="I2" s="36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M11" sqref="M11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38" t="s">
        <v>50</v>
      </c>
      <c r="C2" s="39"/>
      <c r="D2" s="39"/>
      <c r="E2" s="40"/>
    </row>
    <row r="3" spans="2:5" x14ac:dyDescent="0.25">
      <c r="B3" s="16" t="s">
        <v>38</v>
      </c>
      <c r="C3" s="54">
        <f ca="1">TODAY()</f>
        <v>45057</v>
      </c>
      <c r="D3" s="54"/>
      <c r="E3" s="55"/>
    </row>
    <row r="4" spans="2:5" x14ac:dyDescent="0.25">
      <c r="B4" s="16" t="s">
        <v>39</v>
      </c>
      <c r="C4" s="41" t="s">
        <v>52</v>
      </c>
      <c r="D4" s="41"/>
      <c r="E4" s="42"/>
    </row>
    <row r="5" spans="2:5" ht="15.75" thickBot="1" x14ac:dyDescent="0.3">
      <c r="B5" s="17" t="s">
        <v>51</v>
      </c>
      <c r="C5" s="43">
        <v>0.15</v>
      </c>
      <c r="D5" s="43"/>
      <c r="E5" s="44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37" t="s">
        <v>53</v>
      </c>
      <c r="C18" s="37"/>
      <c r="D18" s="37"/>
      <c r="E18" s="37"/>
    </row>
    <row r="19" spans="2:5" x14ac:dyDescent="0.25">
      <c r="B19" s="37"/>
      <c r="C19" s="37"/>
      <c r="D19" s="37"/>
      <c r="E19" s="37"/>
    </row>
    <row r="20" spans="2:5" x14ac:dyDescent="0.25">
      <c r="B20" s="37"/>
      <c r="C20" s="37"/>
      <c r="D20" s="37"/>
      <c r="E20" s="37"/>
    </row>
    <row r="21" spans="2:5" x14ac:dyDescent="0.25">
      <c r="B21" s="37"/>
      <c r="C21" s="37"/>
      <c r="D21" s="37"/>
      <c r="E21" s="37"/>
    </row>
    <row r="22" spans="2:5" x14ac:dyDescent="0.25">
      <c r="B22" s="37"/>
      <c r="C22" s="37"/>
      <c r="D22" s="37"/>
      <c r="E22" s="37"/>
    </row>
    <row r="23" spans="2:5" x14ac:dyDescent="0.25">
      <c r="B23" s="37"/>
      <c r="C23" s="37"/>
      <c r="D23" s="37"/>
      <c r="E23" s="37"/>
    </row>
    <row r="24" spans="2:5" x14ac:dyDescent="0.25">
      <c r="B24" s="37"/>
      <c r="C24" s="37"/>
      <c r="D24" s="37"/>
      <c r="E24" s="37"/>
    </row>
    <row r="25" spans="2:5" x14ac:dyDescent="0.25">
      <c r="B25" s="37"/>
      <c r="C25" s="37"/>
      <c r="D25" s="37"/>
      <c r="E25" s="37"/>
    </row>
    <row r="26" spans="2:5" x14ac:dyDescent="0.25">
      <c r="B26" s="37"/>
      <c r="C26" s="37"/>
      <c r="D26" s="37"/>
      <c r="E26" s="37"/>
    </row>
    <row r="27" spans="2:5" x14ac:dyDescent="0.25">
      <c r="B27" s="37"/>
      <c r="C27" s="37"/>
      <c r="D27" s="37"/>
      <c r="E27" s="37"/>
    </row>
    <row r="28" spans="2:5" x14ac:dyDescent="0.25">
      <c r="B28" s="37"/>
      <c r="C28" s="37"/>
      <c r="D28" s="37"/>
      <c r="E28" s="37"/>
    </row>
    <row r="29" spans="2:5" x14ac:dyDescent="0.25">
      <c r="B29" s="37"/>
      <c r="C29" s="37"/>
      <c r="D29" s="37"/>
      <c r="E29" s="37"/>
    </row>
    <row r="30" spans="2:5" x14ac:dyDescent="0.25">
      <c r="B30" s="37"/>
      <c r="C30" s="37"/>
      <c r="D30" s="37"/>
      <c r="E30" s="37"/>
    </row>
    <row r="31" spans="2:5" x14ac:dyDescent="0.25">
      <c r="B31" s="37"/>
      <c r="C31" s="37"/>
      <c r="D31" s="37"/>
      <c r="E31" s="37"/>
    </row>
    <row r="32" spans="2:5" x14ac:dyDescent="0.25">
      <c r="B32" s="37"/>
      <c r="C32" s="37"/>
      <c r="D32" s="37"/>
      <c r="E32" s="37"/>
    </row>
    <row r="33" spans="2:5" x14ac:dyDescent="0.25">
      <c r="B33" s="37"/>
      <c r="C33" s="37"/>
      <c r="D33" s="37"/>
      <c r="E33" s="37"/>
    </row>
    <row r="34" spans="2:5" x14ac:dyDescent="0.25">
      <c r="B34" s="37"/>
      <c r="C34" s="37"/>
      <c r="D34" s="37"/>
      <c r="E34" s="37"/>
    </row>
    <row r="35" spans="2:5" x14ac:dyDescent="0.25">
      <c r="B35" s="37"/>
      <c r="C35" s="37"/>
      <c r="D35" s="37"/>
      <c r="E35" s="37"/>
    </row>
    <row r="36" spans="2:5" x14ac:dyDescent="0.25">
      <c r="B36" s="37"/>
      <c r="C36" s="37"/>
      <c r="D36" s="37"/>
      <c r="E36" s="37"/>
    </row>
  </sheetData>
  <mergeCells count="5">
    <mergeCell ref="B18:E36"/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workbookViewId="0">
      <selection activeCell="I22" sqref="I22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45" t="s">
        <v>54</v>
      </c>
      <c r="C2" s="45"/>
      <c r="D2" s="45"/>
      <c r="E2" s="45"/>
      <c r="F2" s="45"/>
      <c r="G2" s="45"/>
      <c r="H2" s="45"/>
      <c r="I2" s="45"/>
    </row>
    <row r="3" spans="2:9" x14ac:dyDescent="0.25">
      <c r="B3" s="30" t="s">
        <v>1</v>
      </c>
      <c r="C3" s="30" t="s">
        <v>55</v>
      </c>
      <c r="D3" s="30" t="s">
        <v>56</v>
      </c>
      <c r="E3" s="30" t="s">
        <v>57</v>
      </c>
      <c r="F3" s="30" t="s">
        <v>58</v>
      </c>
      <c r="G3" s="30" t="s">
        <v>59</v>
      </c>
      <c r="H3" s="30" t="s">
        <v>60</v>
      </c>
      <c r="I3" s="30" t="s">
        <v>9</v>
      </c>
    </row>
    <row r="4" spans="2:9" x14ac:dyDescent="0.25">
      <c r="B4" s="6" t="s">
        <v>61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62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63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64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65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30" t="s">
        <v>1</v>
      </c>
      <c r="C9" s="30" t="s">
        <v>55</v>
      </c>
      <c r="D9" s="30" t="s">
        <v>56</v>
      </c>
      <c r="E9" s="30" t="s">
        <v>57</v>
      </c>
      <c r="F9" s="30" t="s">
        <v>58</v>
      </c>
      <c r="G9" s="30" t="s">
        <v>59</v>
      </c>
      <c r="H9" s="30" t="s">
        <v>60</v>
      </c>
      <c r="I9" s="30" t="s">
        <v>9</v>
      </c>
    </row>
    <row r="10" spans="2:9" x14ac:dyDescent="0.25">
      <c r="B10" s="6" t="s">
        <v>61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62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63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64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65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43A7C-3DEC-4C8A-9A7E-F96ABC47EB7D}">
  <dimension ref="D4:I10"/>
  <sheetViews>
    <sheetView tabSelected="1" workbookViewId="0">
      <selection activeCell="A4" sqref="A4"/>
    </sheetView>
  </sheetViews>
  <sheetFormatPr defaultRowHeight="15" x14ac:dyDescent="0.25"/>
  <cols>
    <col min="4" max="4" width="12.5703125" customWidth="1"/>
    <col min="5" max="5" width="11.42578125" bestFit="1" customWidth="1"/>
    <col min="7" max="7" width="9.5703125" bestFit="1" customWidth="1"/>
    <col min="8" max="8" width="13.42578125" bestFit="1" customWidth="1"/>
    <col min="9" max="9" width="18.42578125" bestFit="1" customWidth="1"/>
  </cols>
  <sheetData>
    <row r="4" spans="4:9" x14ac:dyDescent="0.25">
      <c r="D4" s="47" t="s">
        <v>0</v>
      </c>
      <c r="E4" s="48"/>
      <c r="F4" s="48"/>
      <c r="G4" s="49"/>
      <c r="H4" s="51" t="s">
        <v>21</v>
      </c>
      <c r="I4" s="52">
        <v>2</v>
      </c>
    </row>
    <row r="5" spans="4:9" x14ac:dyDescent="0.25">
      <c r="D5" s="50" t="s">
        <v>1</v>
      </c>
      <c r="E5" s="30" t="s">
        <v>2</v>
      </c>
      <c r="F5" s="30" t="s">
        <v>66</v>
      </c>
      <c r="G5" s="30" t="s">
        <v>67</v>
      </c>
      <c r="H5" s="30" t="s">
        <v>68</v>
      </c>
      <c r="I5" s="30" t="s">
        <v>69</v>
      </c>
    </row>
    <row r="6" spans="4:9" x14ac:dyDescent="0.25">
      <c r="D6" s="6" t="s">
        <v>6</v>
      </c>
      <c r="E6" s="6">
        <v>20</v>
      </c>
      <c r="F6" s="1">
        <v>3.5</v>
      </c>
      <c r="G6" s="1">
        <f>F6+F6*I$4</f>
        <v>10.5</v>
      </c>
      <c r="H6" s="46">
        <v>44540</v>
      </c>
      <c r="I6" s="53">
        <f ca="1">TODAY()-H6</f>
        <v>517</v>
      </c>
    </row>
    <row r="7" spans="4:9" x14ac:dyDescent="0.25">
      <c r="D7" s="6" t="s">
        <v>70</v>
      </c>
      <c r="E7" s="6">
        <v>10</v>
      </c>
      <c r="F7" s="1">
        <v>1.3</v>
      </c>
      <c r="G7" s="1">
        <f t="shared" ref="G7:G10" si="0">F7+F7*I$4</f>
        <v>3.9000000000000004</v>
      </c>
      <c r="H7" s="46">
        <v>44849</v>
      </c>
      <c r="I7" s="53">
        <f t="shared" ref="I7:I10" ca="1" si="1">TODAY()-H7</f>
        <v>208</v>
      </c>
    </row>
    <row r="8" spans="4:9" x14ac:dyDescent="0.25">
      <c r="D8" s="6" t="s">
        <v>7</v>
      </c>
      <c r="E8" s="6">
        <v>15</v>
      </c>
      <c r="F8" s="1">
        <v>0.35</v>
      </c>
      <c r="G8" s="1">
        <f t="shared" si="0"/>
        <v>1.0499999999999998</v>
      </c>
      <c r="H8" s="46">
        <v>44959</v>
      </c>
      <c r="I8" s="53">
        <f t="shared" ca="1" si="1"/>
        <v>98</v>
      </c>
    </row>
    <row r="9" spans="4:9" x14ac:dyDescent="0.25">
      <c r="D9" s="6" t="s">
        <v>46</v>
      </c>
      <c r="E9" s="6">
        <v>5</v>
      </c>
      <c r="F9" s="1">
        <v>1.23</v>
      </c>
      <c r="G9" s="1">
        <f t="shared" si="0"/>
        <v>3.69</v>
      </c>
      <c r="H9" s="46">
        <v>44540</v>
      </c>
      <c r="I9" s="53">
        <f t="shared" ca="1" si="1"/>
        <v>517</v>
      </c>
    </row>
    <row r="10" spans="4:9" x14ac:dyDescent="0.25">
      <c r="D10" s="6" t="s">
        <v>71</v>
      </c>
      <c r="E10" s="6">
        <v>4</v>
      </c>
      <c r="F10" s="1">
        <v>9.4499999999999993</v>
      </c>
      <c r="G10" s="1">
        <f t="shared" si="0"/>
        <v>28.349999999999998</v>
      </c>
      <c r="H10" s="46">
        <v>45056</v>
      </c>
      <c r="I10" s="53">
        <f t="shared" ca="1" si="1"/>
        <v>1</v>
      </c>
    </row>
  </sheetData>
  <mergeCells count="1">
    <mergeCell ref="D4:G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de estoque 1</vt:lpstr>
      <vt:lpstr>Folha simplificada</vt:lpstr>
      <vt:lpstr>controledeestoquelucro</vt:lpstr>
      <vt:lpstr>Recibo</vt:lpstr>
      <vt:lpstr>Empresa Nacional</vt:lpstr>
      <vt:lpstr>Controle de estoque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2023-05-11T22:58:39Z</dcterms:modified>
</cp:coreProperties>
</file>