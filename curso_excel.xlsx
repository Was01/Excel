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programacao\excel\"/>
    </mc:Choice>
  </mc:AlternateContent>
  <xr:revisionPtr revIDLastSave="0" documentId="13_ncr:1_{A393E98E-99BB-465C-8AA8-8EE8FE076D4B}" xr6:coauthVersionLast="47" xr6:coauthVersionMax="47" xr10:uidLastSave="{00000000-0000-0000-0000-000000000000}"/>
  <bookViews>
    <workbookView xWindow="-120" yWindow="-120" windowWidth="29040" windowHeight="15840" activeTab="3" xr2:uid="{04619F30-6160-4E7C-8B00-7138000C4EEC}"/>
  </bookViews>
  <sheets>
    <sheet name="Controle de estoque" sheetId="1" r:id="rId1"/>
    <sheet name="Folha simplificada" sheetId="3" r:id="rId2"/>
    <sheet name="controledeestoquelucro" sheetId="4" r:id="rId3"/>
    <sheet name="Recibo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5" l="1"/>
  <c r="E13" i="5"/>
  <c r="E12" i="5"/>
  <c r="E8" i="5"/>
  <c r="E9" i="5"/>
  <c r="E10" i="5"/>
  <c r="E11" i="5"/>
  <c r="E7" i="5"/>
  <c r="G9" i="4"/>
  <c r="H9" i="4" s="1"/>
  <c r="I9" i="4" s="1"/>
  <c r="G10" i="4"/>
  <c r="H10" i="4" s="1"/>
  <c r="I10" i="4" s="1"/>
  <c r="G11" i="4"/>
  <c r="H11" i="4" s="1"/>
  <c r="I11" i="4" s="1"/>
  <c r="G12" i="4"/>
  <c r="H12" i="4"/>
  <c r="I12" i="4" s="1"/>
  <c r="H8" i="4"/>
  <c r="G8" i="4"/>
  <c r="E9" i="4"/>
  <c r="F9" i="4" s="1"/>
  <c r="E10" i="4"/>
  <c r="F10" i="4" s="1"/>
  <c r="E11" i="4"/>
  <c r="F11" i="4" s="1"/>
  <c r="E12" i="4"/>
  <c r="F12" i="4" s="1"/>
  <c r="E8" i="4"/>
  <c r="F8" i="4" s="1"/>
  <c r="J5" i="3"/>
  <c r="J6" i="3"/>
  <c r="J7" i="3"/>
  <c r="J8" i="3"/>
  <c r="J4" i="3"/>
  <c r="I5" i="3"/>
  <c r="I6" i="3"/>
  <c r="I7" i="3"/>
  <c r="I8" i="3"/>
  <c r="I4" i="3"/>
  <c r="H5" i="3"/>
  <c r="H6" i="3"/>
  <c r="H7" i="3"/>
  <c r="H8" i="3"/>
  <c r="H4" i="3"/>
  <c r="G5" i="3"/>
  <c r="G6" i="3"/>
  <c r="G7" i="3"/>
  <c r="G8" i="3"/>
  <c r="G4" i="3"/>
  <c r="E7" i="1"/>
  <c r="E6" i="1"/>
  <c r="E5" i="1"/>
  <c r="E4" i="1"/>
  <c r="I8" i="4" l="1"/>
  <c r="E8" i="1"/>
</calcChain>
</file>

<file path=xl/sharedStrings.xml><?xml version="1.0" encoding="utf-8"?>
<sst xmlns="http://schemas.openxmlformats.org/spreadsheetml/2006/main" count="60" uniqueCount="54">
  <si>
    <t>Controle de estoque</t>
  </si>
  <si>
    <t>Produto</t>
  </si>
  <si>
    <t>Quantidade</t>
  </si>
  <si>
    <t>Valor</t>
  </si>
  <si>
    <t>Sub-total</t>
  </si>
  <si>
    <t>Achocolatado</t>
  </si>
  <si>
    <t>Chocolate</t>
  </si>
  <si>
    <t>Miojo</t>
  </si>
  <si>
    <t>Feijão</t>
  </si>
  <si>
    <t>Total</t>
  </si>
  <si>
    <t>Folha de Pagamento Simplificada</t>
  </si>
  <si>
    <t>Colaborador</t>
  </si>
  <si>
    <t>Salário Bruto</t>
  </si>
  <si>
    <t>INSS</t>
  </si>
  <si>
    <t>FGTS</t>
  </si>
  <si>
    <t>Vale Transporte</t>
  </si>
  <si>
    <t>INSS R$</t>
  </si>
  <si>
    <t>FGTS R$</t>
  </si>
  <si>
    <t>Vale transporte R$</t>
  </si>
  <si>
    <t>Salário Líquido</t>
  </si>
  <si>
    <t>Controle de Estoque/Lucro</t>
  </si>
  <si>
    <t>Lucro</t>
  </si>
  <si>
    <t>Dólar</t>
  </si>
  <si>
    <t>Tiago Souza</t>
  </si>
  <si>
    <t>Rafaela Cristina</t>
  </si>
  <si>
    <t>Maria de Lourdes</t>
  </si>
  <si>
    <t>Pedro Henrique</t>
  </si>
  <si>
    <t>Caderno</t>
  </si>
  <si>
    <t>Caneta</t>
  </si>
  <si>
    <t>Borracha</t>
  </si>
  <si>
    <t>Apostilas</t>
  </si>
  <si>
    <t>Pastas</t>
  </si>
  <si>
    <t>Sub-Total R$</t>
  </si>
  <si>
    <t>Vl. Venda R$</t>
  </si>
  <si>
    <t>Vl. Custo R$</t>
  </si>
  <si>
    <t>Vl. Custo U$</t>
  </si>
  <si>
    <t>Vl. Venda U$</t>
  </si>
  <si>
    <t>Sub-Total U$</t>
  </si>
  <si>
    <t>Data</t>
  </si>
  <si>
    <t>Cliente</t>
  </si>
  <si>
    <t>Valor unit</t>
  </si>
  <si>
    <t>Valor total</t>
  </si>
  <si>
    <t>Mais Caro</t>
  </si>
  <si>
    <t>Mais barato</t>
  </si>
  <si>
    <t>Biscoitos</t>
  </si>
  <si>
    <t>Macarrão</t>
  </si>
  <si>
    <t>Milho</t>
  </si>
  <si>
    <t>Sabonete</t>
  </si>
  <si>
    <t>Sub-Total</t>
  </si>
  <si>
    <t>Vl. desconto</t>
  </si>
  <si>
    <t>Recibo de compra</t>
  </si>
  <si>
    <t>Desconto</t>
  </si>
  <si>
    <t>Pedro</t>
  </si>
  <si>
    <t>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</si>
</sst>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_-[$$-409]* #,##0.00_ ;_-[$$-409]* \-#,##0.00\ ;_-[$$-409]* &quot;-&quot;??_ ;_-@_ "/>
    <numFmt numFmtId="167" formatCode="&quot;R$&quot;\ #,##0.00"/>
    <numFmt numFmtId="169" formatCode="d/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indent="1"/>
    </xf>
    <xf numFmtId="164" fontId="1" fillId="0" borderId="1" xfId="0" applyNumberFormat="1" applyFont="1" applyBorder="1"/>
    <xf numFmtId="0" fontId="0" fillId="0" borderId="1" xfId="0" applyBorder="1"/>
    <xf numFmtId="0" fontId="2" fillId="4" borderId="1" xfId="0" applyFont="1" applyFill="1" applyBorder="1"/>
    <xf numFmtId="9" fontId="0" fillId="0" borderId="1" xfId="1" applyFont="1" applyBorder="1"/>
    <xf numFmtId="9" fontId="0" fillId="0" borderId="0" xfId="1" applyFont="1"/>
    <xf numFmtId="9" fontId="0" fillId="0" borderId="1" xfId="0" applyNumberFormat="1" applyBorder="1"/>
    <xf numFmtId="0" fontId="1" fillId="0" borderId="1" xfId="0" applyFont="1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165" fontId="0" fillId="0" borderId="1" xfId="0" applyNumberFormat="1" applyBorder="1"/>
    <xf numFmtId="0" fontId="1" fillId="5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8" xfId="0" applyBorder="1"/>
    <xf numFmtId="169" fontId="0" fillId="0" borderId="9" xfId="0" applyNumberFormat="1" applyBorder="1" applyAlignment="1">
      <alignment horizontal="center"/>
    </xf>
    <xf numFmtId="0" fontId="0" fillId="0" borderId="9" xfId="1" applyNumberFormat="1" applyFont="1" applyBorder="1" applyAlignment="1">
      <alignment horizontal="center"/>
    </xf>
    <xf numFmtId="0" fontId="0" fillId="0" borderId="10" xfId="0" applyBorder="1"/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0" fontId="0" fillId="0" borderId="0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7" fontId="0" fillId="0" borderId="1" xfId="0" applyNumberFormat="1" applyBorder="1" applyAlignment="1">
      <alignment horizontal="left"/>
    </xf>
    <xf numFmtId="167" fontId="0" fillId="0" borderId="11" xfId="0" applyNumberFormat="1" applyBorder="1" applyAlignment="1">
      <alignment horizontal="left"/>
    </xf>
    <xf numFmtId="167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167" fontId="0" fillId="0" borderId="12" xfId="0" applyNumberFormat="1" applyBorder="1" applyAlignment="1">
      <alignment horizontal="lef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167" fontId="0" fillId="0" borderId="7" xfId="0" applyNumberFormat="1" applyBorder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676C-78BA-4273-A30C-B385BBD5352F}">
  <dimension ref="B2:E8"/>
  <sheetViews>
    <sheetView workbookViewId="0">
      <selection activeCell="D30" sqref="D30"/>
    </sheetView>
  </sheetViews>
  <sheetFormatPr defaultRowHeight="15" x14ac:dyDescent="0.25"/>
  <cols>
    <col min="2" max="2" width="14.42578125" bestFit="1" customWidth="1"/>
    <col min="3" max="3" width="11.42578125" bestFit="1" customWidth="1"/>
    <col min="4" max="4" width="8.5703125" bestFit="1" customWidth="1"/>
    <col min="5" max="5" width="10.5703125" bestFit="1" customWidth="1"/>
  </cols>
  <sheetData>
    <row r="2" spans="2:5" x14ac:dyDescent="0.25">
      <c r="B2" s="16" t="s">
        <v>0</v>
      </c>
      <c r="C2" s="16"/>
      <c r="D2" s="16"/>
      <c r="E2" s="16"/>
    </row>
    <row r="3" spans="2:5" x14ac:dyDescent="0.25">
      <c r="B3" s="2" t="s">
        <v>1</v>
      </c>
      <c r="C3" s="2" t="s">
        <v>2</v>
      </c>
      <c r="D3" s="2" t="s">
        <v>3</v>
      </c>
      <c r="E3" s="2" t="s">
        <v>4</v>
      </c>
    </row>
    <row r="4" spans="2:5" x14ac:dyDescent="0.25">
      <c r="B4" s="4" t="s">
        <v>5</v>
      </c>
      <c r="C4" s="3">
        <v>10</v>
      </c>
      <c r="D4" s="1">
        <v>6.3</v>
      </c>
      <c r="E4" s="1">
        <f>D4*C4</f>
        <v>63</v>
      </c>
    </row>
    <row r="5" spans="2:5" x14ac:dyDescent="0.25">
      <c r="B5" s="4" t="s">
        <v>6</v>
      </c>
      <c r="C5" s="3">
        <v>5</v>
      </c>
      <c r="D5" s="1">
        <v>8.5</v>
      </c>
      <c r="E5" s="1">
        <f>D5*C5</f>
        <v>42.5</v>
      </c>
    </row>
    <row r="6" spans="2:5" x14ac:dyDescent="0.25">
      <c r="B6" s="4" t="s">
        <v>7</v>
      </c>
      <c r="C6" s="3">
        <v>6</v>
      </c>
      <c r="D6" s="1">
        <v>1.56</v>
      </c>
      <c r="E6" s="1">
        <f>D6*C6</f>
        <v>9.36</v>
      </c>
    </row>
    <row r="7" spans="2:5" x14ac:dyDescent="0.25">
      <c r="B7" s="4" t="s">
        <v>8</v>
      </c>
      <c r="C7" s="3">
        <v>4</v>
      </c>
      <c r="D7" s="1">
        <v>8.32</v>
      </c>
      <c r="E7" s="1">
        <f>D7*C7</f>
        <v>33.28</v>
      </c>
    </row>
    <row r="8" spans="2:5" x14ac:dyDescent="0.25">
      <c r="B8" s="17" t="s">
        <v>9</v>
      </c>
      <c r="C8" s="17"/>
      <c r="D8" s="17"/>
      <c r="E8" s="5">
        <f>SUM(E4:E7)</f>
        <v>148.13999999999999</v>
      </c>
    </row>
  </sheetData>
  <mergeCells count="2">
    <mergeCell ref="B2:E2"/>
    <mergeCell ref="B8:D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51C1-5D21-4707-A555-3AD6B7FBB0C3}">
  <dimension ref="B2:J8"/>
  <sheetViews>
    <sheetView workbookViewId="0">
      <selection activeCell="F35" sqref="F35"/>
    </sheetView>
  </sheetViews>
  <sheetFormatPr defaultRowHeight="15" x14ac:dyDescent="0.25"/>
  <cols>
    <col min="2" max="2" width="16.28515625" bestFit="1" customWidth="1"/>
    <col min="3" max="3" width="12.28515625" bestFit="1" customWidth="1"/>
    <col min="6" max="6" width="15.140625" bestFit="1" customWidth="1"/>
    <col min="7" max="8" width="10.5703125" bestFit="1" customWidth="1"/>
    <col min="9" max="9" width="17.5703125" bestFit="1" customWidth="1"/>
    <col min="10" max="10" width="14" bestFit="1" customWidth="1"/>
  </cols>
  <sheetData>
    <row r="2" spans="2:10" x14ac:dyDescent="0.25">
      <c r="B2" s="18" t="s">
        <v>10</v>
      </c>
      <c r="C2" s="18"/>
      <c r="D2" s="18"/>
      <c r="E2" s="18"/>
      <c r="F2" s="18"/>
      <c r="G2" s="18"/>
      <c r="H2" s="18"/>
      <c r="I2" s="18"/>
      <c r="J2" s="18"/>
    </row>
    <row r="3" spans="2:10" x14ac:dyDescent="0.25"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</row>
    <row r="4" spans="2:10" x14ac:dyDescent="0.25">
      <c r="B4" s="6"/>
      <c r="C4" s="1">
        <v>1500</v>
      </c>
      <c r="D4" s="8">
        <v>0.2</v>
      </c>
      <c r="E4" s="9">
        <v>0.08</v>
      </c>
      <c r="F4" s="8">
        <v>7.0000000000000007E-2</v>
      </c>
      <c r="G4" s="1">
        <f>C4*D4</f>
        <v>300</v>
      </c>
      <c r="H4" s="1">
        <f>C4*E4</f>
        <v>120</v>
      </c>
      <c r="I4" s="1">
        <f>C4*F4</f>
        <v>105.00000000000001</v>
      </c>
      <c r="J4" s="1">
        <f>C4-(G4+H4+I4)</f>
        <v>975</v>
      </c>
    </row>
    <row r="5" spans="2:10" x14ac:dyDescent="0.25">
      <c r="B5" s="6" t="s">
        <v>23</v>
      </c>
      <c r="C5" s="1">
        <v>1600</v>
      </c>
      <c r="D5" s="8">
        <v>0.2</v>
      </c>
      <c r="E5" s="8">
        <v>0.08</v>
      </c>
      <c r="F5" s="8">
        <v>7.0000000000000007E-2</v>
      </c>
      <c r="G5" s="1">
        <f t="shared" ref="G5:G8" si="0">C5*D5</f>
        <v>320</v>
      </c>
      <c r="H5" s="1">
        <f t="shared" ref="H5:H8" si="1">C5*E5</f>
        <v>128</v>
      </c>
      <c r="I5" s="1">
        <f t="shared" ref="I5:I8" si="2">C5*F5</f>
        <v>112.00000000000001</v>
      </c>
      <c r="J5" s="1">
        <f t="shared" ref="J5:J8" si="3">C5-(G5+H5+I5)</f>
        <v>1040</v>
      </c>
    </row>
    <row r="6" spans="2:10" x14ac:dyDescent="0.25">
      <c r="B6" s="6" t="s">
        <v>24</v>
      </c>
      <c r="C6" s="1">
        <v>1800</v>
      </c>
      <c r="D6" s="8">
        <v>0.2</v>
      </c>
      <c r="E6" s="9">
        <v>0.08</v>
      </c>
      <c r="F6" s="8">
        <v>7.0000000000000007E-2</v>
      </c>
      <c r="G6" s="1">
        <f t="shared" si="0"/>
        <v>360</v>
      </c>
      <c r="H6" s="1">
        <f t="shared" si="1"/>
        <v>144</v>
      </c>
      <c r="I6" s="1">
        <f t="shared" si="2"/>
        <v>126.00000000000001</v>
      </c>
      <c r="J6" s="1">
        <f t="shared" si="3"/>
        <v>1170</v>
      </c>
    </row>
    <row r="7" spans="2:10" x14ac:dyDescent="0.25">
      <c r="B7" s="6" t="s">
        <v>25</v>
      </c>
      <c r="C7" s="1">
        <v>2200</v>
      </c>
      <c r="D7" s="8">
        <v>0.2</v>
      </c>
      <c r="E7" s="8">
        <v>0.08</v>
      </c>
      <c r="F7" s="8">
        <v>7.0000000000000007E-2</v>
      </c>
      <c r="G7" s="1">
        <f t="shared" si="0"/>
        <v>440</v>
      </c>
      <c r="H7" s="1">
        <f t="shared" si="1"/>
        <v>176</v>
      </c>
      <c r="I7" s="1">
        <f t="shared" si="2"/>
        <v>154.00000000000003</v>
      </c>
      <c r="J7" s="1">
        <f t="shared" si="3"/>
        <v>1430</v>
      </c>
    </row>
    <row r="8" spans="2:10" x14ac:dyDescent="0.25">
      <c r="B8" s="6" t="s">
        <v>26</v>
      </c>
      <c r="C8" s="1">
        <v>1800</v>
      </c>
      <c r="D8" s="8">
        <v>0.2</v>
      </c>
      <c r="E8" s="9">
        <v>0.08</v>
      </c>
      <c r="F8" s="8">
        <v>7.0000000000000007E-2</v>
      </c>
      <c r="G8" s="1">
        <f t="shared" si="0"/>
        <v>360</v>
      </c>
      <c r="H8" s="1">
        <f t="shared" si="1"/>
        <v>144</v>
      </c>
      <c r="I8" s="1">
        <f t="shared" si="2"/>
        <v>126.00000000000001</v>
      </c>
      <c r="J8" s="1">
        <f t="shared" si="3"/>
        <v>1170</v>
      </c>
    </row>
  </sheetData>
  <mergeCells count="1">
    <mergeCell ref="B2:J2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520C-119D-42FB-890F-F49189793DBC}">
  <dimension ref="B2:I12"/>
  <sheetViews>
    <sheetView workbookViewId="0">
      <selection activeCell="G9" sqref="G9"/>
    </sheetView>
  </sheetViews>
  <sheetFormatPr defaultRowHeight="15" x14ac:dyDescent="0.25"/>
  <cols>
    <col min="2" max="2" width="9.5703125" customWidth="1"/>
    <col min="3" max="3" width="15.140625" customWidth="1"/>
    <col min="4" max="4" width="12.85546875" customWidth="1"/>
    <col min="5" max="5" width="12.42578125" customWidth="1"/>
    <col min="6" max="6" width="13.28515625" customWidth="1"/>
    <col min="7" max="7" width="12.42578125" customWidth="1"/>
    <col min="8" max="8" width="13.140625" customWidth="1"/>
    <col min="9" max="9" width="13.5703125" customWidth="1"/>
  </cols>
  <sheetData>
    <row r="2" spans="2:9" x14ac:dyDescent="0.25">
      <c r="B2" s="19" t="s">
        <v>20</v>
      </c>
      <c r="C2" s="20"/>
      <c r="D2" s="20"/>
      <c r="E2" s="20"/>
      <c r="F2" s="20"/>
      <c r="G2" s="20"/>
      <c r="H2" s="20"/>
      <c r="I2" s="21"/>
    </row>
    <row r="3" spans="2:9" x14ac:dyDescent="0.25">
      <c r="B3" s="11" t="s">
        <v>21</v>
      </c>
      <c r="C3" s="10">
        <v>1.3</v>
      </c>
    </row>
    <row r="4" spans="2:9" x14ac:dyDescent="0.25">
      <c r="B4" s="11" t="s">
        <v>22</v>
      </c>
      <c r="C4" s="12">
        <v>5.45</v>
      </c>
    </row>
    <row r="7" spans="2:9" x14ac:dyDescent="0.25">
      <c r="B7" s="15" t="s">
        <v>1</v>
      </c>
      <c r="C7" s="15" t="s">
        <v>2</v>
      </c>
      <c r="D7" s="15" t="s">
        <v>34</v>
      </c>
      <c r="E7" s="15" t="s">
        <v>33</v>
      </c>
      <c r="F7" s="15" t="s">
        <v>32</v>
      </c>
      <c r="G7" s="15" t="s">
        <v>35</v>
      </c>
      <c r="H7" s="15" t="s">
        <v>36</v>
      </c>
      <c r="I7" s="15" t="s">
        <v>37</v>
      </c>
    </row>
    <row r="8" spans="2:9" x14ac:dyDescent="0.25">
      <c r="B8" s="6" t="s">
        <v>27</v>
      </c>
      <c r="C8" s="13">
        <v>5</v>
      </c>
      <c r="D8" s="1">
        <v>1.3</v>
      </c>
      <c r="E8" s="1">
        <f>D8*C$3+D8</f>
        <v>2.99</v>
      </c>
      <c r="F8" s="1">
        <f>E8*C8</f>
        <v>14.950000000000001</v>
      </c>
      <c r="G8" s="14">
        <f>D8/C$4</f>
        <v>0.23853211009174313</v>
      </c>
      <c r="H8" s="14">
        <f>G8*C$3+G8</f>
        <v>0.54862385321100926</v>
      </c>
      <c r="I8" s="14">
        <f>H8*C8</f>
        <v>2.7431192660550465</v>
      </c>
    </row>
    <row r="9" spans="2:9" x14ac:dyDescent="0.25">
      <c r="B9" s="6" t="s">
        <v>28</v>
      </c>
      <c r="C9" s="13">
        <v>2</v>
      </c>
      <c r="D9" s="1">
        <v>0.53</v>
      </c>
      <c r="E9" s="1">
        <f t="shared" ref="E9:E12" si="0">D9*C$3+D9</f>
        <v>1.2190000000000001</v>
      </c>
      <c r="F9" s="1">
        <f t="shared" ref="F9:F12" si="1">E9*C9</f>
        <v>2.4380000000000002</v>
      </c>
      <c r="G9" s="14">
        <f t="shared" ref="G9:G12" si="2">D9/C$4</f>
        <v>9.7247706422018354E-2</v>
      </c>
      <c r="H9" s="14">
        <f t="shared" ref="H9:H12" si="3">G9*C$3+G9</f>
        <v>0.22366972477064223</v>
      </c>
      <c r="I9" s="14">
        <f t="shared" ref="I9:I12" si="4">H9*C9</f>
        <v>0.44733944954128446</v>
      </c>
    </row>
    <row r="10" spans="2:9" x14ac:dyDescent="0.25">
      <c r="B10" s="6" t="s">
        <v>29</v>
      </c>
      <c r="C10" s="13">
        <v>1</v>
      </c>
      <c r="D10" s="1">
        <v>0.23</v>
      </c>
      <c r="E10" s="1">
        <f t="shared" si="0"/>
        <v>0.52900000000000003</v>
      </c>
      <c r="F10" s="1">
        <f t="shared" si="1"/>
        <v>0.52900000000000003</v>
      </c>
      <c r="G10" s="14">
        <f t="shared" si="2"/>
        <v>4.2201834862385323E-2</v>
      </c>
      <c r="H10" s="14">
        <f t="shared" si="3"/>
        <v>9.7064220183486247E-2</v>
      </c>
      <c r="I10" s="14">
        <f t="shared" si="4"/>
        <v>9.7064220183486247E-2</v>
      </c>
    </row>
    <row r="11" spans="2:9" x14ac:dyDescent="0.25">
      <c r="B11" s="6" t="s">
        <v>30</v>
      </c>
      <c r="C11" s="13">
        <v>15</v>
      </c>
      <c r="D11" s="1">
        <v>15</v>
      </c>
      <c r="E11" s="1">
        <f t="shared" si="0"/>
        <v>34.5</v>
      </c>
      <c r="F11" s="1">
        <f t="shared" si="1"/>
        <v>517.5</v>
      </c>
      <c r="G11" s="14">
        <f t="shared" si="2"/>
        <v>2.7522935779816513</v>
      </c>
      <c r="H11" s="14">
        <f t="shared" si="3"/>
        <v>6.330275229357798</v>
      </c>
      <c r="I11" s="14">
        <f t="shared" si="4"/>
        <v>94.954128440366972</v>
      </c>
    </row>
    <row r="12" spans="2:9" x14ac:dyDescent="0.25">
      <c r="B12" s="6" t="s">
        <v>31</v>
      </c>
      <c r="C12" s="13">
        <v>20</v>
      </c>
      <c r="D12" s="1">
        <v>1.9</v>
      </c>
      <c r="E12" s="1">
        <f t="shared" si="0"/>
        <v>4.3699999999999992</v>
      </c>
      <c r="F12" s="1">
        <f t="shared" si="1"/>
        <v>87.399999999999977</v>
      </c>
      <c r="G12" s="14">
        <f t="shared" si="2"/>
        <v>0.34862385321100914</v>
      </c>
      <c r="H12" s="14">
        <f t="shared" si="3"/>
        <v>0.80183486238532109</v>
      </c>
      <c r="I12" s="14">
        <f t="shared" si="4"/>
        <v>16.036697247706421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D517-567E-4874-9E0F-E652E52C3A90}">
  <dimension ref="B1:E36"/>
  <sheetViews>
    <sheetView tabSelected="1" workbookViewId="0">
      <selection activeCell="I13" sqref="I13"/>
    </sheetView>
  </sheetViews>
  <sheetFormatPr defaultRowHeight="15" x14ac:dyDescent="0.25"/>
  <cols>
    <col min="2" max="2" width="16.28515625" bestFit="1" customWidth="1"/>
    <col min="3" max="3" width="13.42578125" customWidth="1"/>
    <col min="4" max="4" width="12" bestFit="1" customWidth="1"/>
    <col min="5" max="5" width="10.28515625" bestFit="1" customWidth="1"/>
  </cols>
  <sheetData>
    <row r="1" spans="2:5" ht="15.75" thickBot="1" x14ac:dyDescent="0.3"/>
    <row r="2" spans="2:5" x14ac:dyDescent="0.25">
      <c r="B2" s="35" t="s">
        <v>50</v>
      </c>
      <c r="C2" s="36"/>
      <c r="D2" s="36"/>
      <c r="E2" s="37"/>
    </row>
    <row r="3" spans="2:5" x14ac:dyDescent="0.25">
      <c r="B3" s="25" t="s">
        <v>38</v>
      </c>
      <c r="C3" s="22">
        <v>45053</v>
      </c>
      <c r="D3" s="22"/>
      <c r="E3" s="26"/>
    </row>
    <row r="4" spans="2:5" x14ac:dyDescent="0.25">
      <c r="B4" s="25" t="s">
        <v>39</v>
      </c>
      <c r="C4" s="23" t="s">
        <v>52</v>
      </c>
      <c r="D4" s="23"/>
      <c r="E4" s="27"/>
    </row>
    <row r="5" spans="2:5" ht="15.75" thickBot="1" x14ac:dyDescent="0.3">
      <c r="B5" s="28" t="s">
        <v>51</v>
      </c>
      <c r="C5" s="29">
        <v>0.15</v>
      </c>
      <c r="D5" s="29"/>
      <c r="E5" s="30"/>
    </row>
    <row r="6" spans="2:5" x14ac:dyDescent="0.25">
      <c r="B6" s="44" t="s">
        <v>1</v>
      </c>
      <c r="C6" s="45" t="s">
        <v>2</v>
      </c>
      <c r="D6" s="45" t="s">
        <v>40</v>
      </c>
      <c r="E6" s="46" t="s">
        <v>41</v>
      </c>
    </row>
    <row r="7" spans="2:5" x14ac:dyDescent="0.25">
      <c r="B7" s="25" t="s">
        <v>6</v>
      </c>
      <c r="C7" s="3">
        <v>5</v>
      </c>
      <c r="D7" s="39">
        <v>10.3</v>
      </c>
      <c r="E7" s="41">
        <f>C7*D7</f>
        <v>51.5</v>
      </c>
    </row>
    <row r="8" spans="2:5" x14ac:dyDescent="0.25">
      <c r="B8" s="25" t="s">
        <v>44</v>
      </c>
      <c r="C8" s="3">
        <v>10</v>
      </c>
      <c r="D8" s="39">
        <v>5.3</v>
      </c>
      <c r="E8" s="41">
        <f t="shared" ref="E8:E11" si="0">C8*D8</f>
        <v>53</v>
      </c>
    </row>
    <row r="9" spans="2:5" x14ac:dyDescent="0.25">
      <c r="B9" s="25" t="s">
        <v>45</v>
      </c>
      <c r="C9" s="3">
        <v>5</v>
      </c>
      <c r="D9" s="39">
        <v>2.2999999999999998</v>
      </c>
      <c r="E9" s="41">
        <f t="shared" si="0"/>
        <v>11.5</v>
      </c>
    </row>
    <row r="10" spans="2:5" x14ac:dyDescent="0.25">
      <c r="B10" s="25" t="s">
        <v>46</v>
      </c>
      <c r="C10" s="3">
        <v>3</v>
      </c>
      <c r="D10" s="39">
        <v>1.56</v>
      </c>
      <c r="E10" s="41">
        <f t="shared" si="0"/>
        <v>4.68</v>
      </c>
    </row>
    <row r="11" spans="2:5" ht="15.75" thickBot="1" x14ac:dyDescent="0.3">
      <c r="B11" s="28" t="s">
        <v>47</v>
      </c>
      <c r="C11" s="38">
        <v>15</v>
      </c>
      <c r="D11" s="40">
        <v>2.2999999999999998</v>
      </c>
      <c r="E11" s="43">
        <f t="shared" si="0"/>
        <v>34.5</v>
      </c>
    </row>
    <row r="12" spans="2:5" x14ac:dyDescent="0.25">
      <c r="B12" s="34"/>
      <c r="C12" s="34"/>
      <c r="D12" s="31" t="s">
        <v>48</v>
      </c>
      <c r="E12" s="47">
        <f>SUM(E7:E11)</f>
        <v>155.18</v>
      </c>
    </row>
    <row r="13" spans="2:5" x14ac:dyDescent="0.25">
      <c r="B13" s="34"/>
      <c r="C13" s="34"/>
      <c r="D13" s="32" t="s">
        <v>49</v>
      </c>
      <c r="E13" s="41">
        <f>E12*C5</f>
        <v>23.277000000000001</v>
      </c>
    </row>
    <row r="14" spans="2:5" x14ac:dyDescent="0.25">
      <c r="D14" s="32" t="s">
        <v>42</v>
      </c>
      <c r="E14" s="42"/>
    </row>
    <row r="15" spans="2:5" x14ac:dyDescent="0.25">
      <c r="D15" s="32" t="s">
        <v>43</v>
      </c>
      <c r="E15" s="42"/>
    </row>
    <row r="16" spans="2:5" ht="15.75" thickBot="1" x14ac:dyDescent="0.3">
      <c r="D16" s="33" t="s">
        <v>9</v>
      </c>
      <c r="E16" s="43">
        <f>E12-E13</f>
        <v>131.90300000000002</v>
      </c>
    </row>
    <row r="18" spans="2:5" ht="15" customHeight="1" x14ac:dyDescent="0.25">
      <c r="B18" s="24" t="s">
        <v>53</v>
      </c>
      <c r="C18" s="24"/>
      <c r="D18" s="24"/>
      <c r="E18" s="24"/>
    </row>
    <row r="19" spans="2:5" x14ac:dyDescent="0.25">
      <c r="B19" s="24"/>
      <c r="C19" s="24"/>
      <c r="D19" s="24"/>
      <c r="E19" s="24"/>
    </row>
    <row r="20" spans="2:5" x14ac:dyDescent="0.25">
      <c r="B20" s="24"/>
      <c r="C20" s="24"/>
      <c r="D20" s="24"/>
      <c r="E20" s="24"/>
    </row>
    <row r="21" spans="2:5" x14ac:dyDescent="0.25">
      <c r="B21" s="24"/>
      <c r="C21" s="24"/>
      <c r="D21" s="24"/>
      <c r="E21" s="24"/>
    </row>
    <row r="22" spans="2:5" x14ac:dyDescent="0.25">
      <c r="B22" s="24"/>
      <c r="C22" s="24"/>
      <c r="D22" s="24"/>
      <c r="E22" s="24"/>
    </row>
    <row r="23" spans="2:5" x14ac:dyDescent="0.25">
      <c r="B23" s="24"/>
      <c r="C23" s="24"/>
      <c r="D23" s="24"/>
      <c r="E23" s="24"/>
    </row>
    <row r="24" spans="2:5" x14ac:dyDescent="0.25">
      <c r="B24" s="24"/>
      <c r="C24" s="24"/>
      <c r="D24" s="24"/>
      <c r="E24" s="24"/>
    </row>
    <row r="25" spans="2:5" x14ac:dyDescent="0.25">
      <c r="B25" s="24"/>
      <c r="C25" s="24"/>
      <c r="D25" s="24"/>
      <c r="E25" s="24"/>
    </row>
    <row r="26" spans="2:5" x14ac:dyDescent="0.25">
      <c r="B26" s="24"/>
      <c r="C26" s="24"/>
      <c r="D26" s="24"/>
      <c r="E26" s="24"/>
    </row>
    <row r="27" spans="2:5" x14ac:dyDescent="0.25">
      <c r="B27" s="24"/>
      <c r="C27" s="24"/>
      <c r="D27" s="24"/>
      <c r="E27" s="24"/>
    </row>
    <row r="28" spans="2:5" x14ac:dyDescent="0.25">
      <c r="B28" s="24"/>
      <c r="C28" s="24"/>
      <c r="D28" s="24"/>
      <c r="E28" s="24"/>
    </row>
    <row r="29" spans="2:5" x14ac:dyDescent="0.25">
      <c r="B29" s="24"/>
      <c r="C29" s="24"/>
      <c r="D29" s="24"/>
      <c r="E29" s="24"/>
    </row>
    <row r="30" spans="2:5" x14ac:dyDescent="0.25">
      <c r="B30" s="24"/>
      <c r="C30" s="24"/>
      <c r="D30" s="24"/>
      <c r="E30" s="24"/>
    </row>
    <row r="31" spans="2:5" x14ac:dyDescent="0.25">
      <c r="B31" s="24"/>
      <c r="C31" s="24"/>
      <c r="D31" s="24"/>
      <c r="E31" s="24"/>
    </row>
    <row r="32" spans="2:5" x14ac:dyDescent="0.25">
      <c r="B32" s="24"/>
      <c r="C32" s="24"/>
      <c r="D32" s="24"/>
      <c r="E32" s="24"/>
    </row>
    <row r="33" spans="2:5" x14ac:dyDescent="0.25">
      <c r="B33" s="24"/>
      <c r="C33" s="24"/>
      <c r="D33" s="24"/>
      <c r="E33" s="24"/>
    </row>
    <row r="34" spans="2:5" x14ac:dyDescent="0.25">
      <c r="B34" s="24"/>
      <c r="C34" s="24"/>
      <c r="D34" s="24"/>
      <c r="E34" s="24"/>
    </row>
    <row r="35" spans="2:5" x14ac:dyDescent="0.25">
      <c r="B35" s="24"/>
      <c r="C35" s="24"/>
      <c r="D35" s="24"/>
      <c r="E35" s="24"/>
    </row>
    <row r="36" spans="2:5" x14ac:dyDescent="0.25">
      <c r="B36" s="24"/>
      <c r="C36" s="24"/>
      <c r="D36" s="24"/>
      <c r="E36" s="24"/>
    </row>
  </sheetData>
  <mergeCells count="5">
    <mergeCell ref="B18:E36"/>
    <mergeCell ref="B2:E2"/>
    <mergeCell ref="C3:E3"/>
    <mergeCell ref="C4:E4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estoque</vt:lpstr>
      <vt:lpstr>Folha simplificada</vt:lpstr>
      <vt:lpstr>controledeestoquelucro</vt:lpstr>
      <vt:lpstr>Recibo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cp:lastPrinted>2023-05-07T22:27:23Z</cp:lastPrinted>
  <dcterms:created xsi:type="dcterms:W3CDTF">2023-05-02T23:32:35Z</dcterms:created>
  <dcterms:modified xsi:type="dcterms:W3CDTF">2023-05-07T22:36:45Z</dcterms:modified>
</cp:coreProperties>
</file>